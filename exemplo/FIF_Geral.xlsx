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ana.fernandes\Desktop\Doc. Admissão B&amp;A\"/>
    </mc:Choice>
  </mc:AlternateContent>
  <xr:revisionPtr revIDLastSave="0" documentId="13_ncr:1_{91A00EAE-90CF-453E-BC19-0C761C11BD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DMISSÃO" sheetId="24" r:id="rId1"/>
    <sheet name="formulário em branco" sheetId="21" state="hidden" r:id="rId2"/>
    <sheet name="RESCISÃO-FÉRIAS e ALTERAÇÕES" sheetId="26" r:id="rId3"/>
  </sheets>
  <definedNames>
    <definedName name="_xlnm.Print_Area" localSheetId="0">ADMISSÃO!$A$1:$AR$107</definedName>
    <definedName name="_xlnm.Print_Area" localSheetId="1">'formulário em branco'!$A$1:$AQ$90</definedName>
    <definedName name="_xlnm.Print_Area" localSheetId="2">'RESCISÃO-FÉRIAS e ALTERAÇÕES'!$A$1:$AT$106</definedName>
  </definedNames>
  <calcPr calcId="191029"/>
</workbook>
</file>

<file path=xl/calcChain.xml><?xml version="1.0" encoding="utf-8"?>
<calcChain xmlns="http://schemas.openxmlformats.org/spreadsheetml/2006/main">
  <c r="AJ74" i="26" l="1"/>
  <c r="I77" i="26"/>
  <c r="AO71" i="26"/>
  <c r="AL84" i="26"/>
  <c r="BH54" i="26"/>
  <c r="BH61" i="26"/>
  <c r="T54" i="26"/>
  <c r="R54" i="26"/>
  <c r="BH60" i="26"/>
  <c r="T60" i="26"/>
  <c r="BF61" i="26"/>
  <c r="P60" i="26"/>
  <c r="BK60" i="26"/>
  <c r="P59" i="26"/>
  <c r="BK59" i="26"/>
  <c r="BH59" i="26"/>
  <c r="T59" i="26"/>
  <c r="R59" i="26"/>
  <c r="AC59" i="26"/>
  <c r="P58" i="26"/>
  <c r="BK58" i="26"/>
  <c r="BH58" i="26"/>
  <c r="T58" i="26"/>
  <c r="P57" i="26"/>
  <c r="BK57" i="26"/>
  <c r="BH57" i="26"/>
  <c r="T57" i="26"/>
  <c r="P56" i="26"/>
  <c r="P61" i="26"/>
  <c r="M64" i="26"/>
  <c r="BK56" i="26"/>
  <c r="BH56" i="26"/>
  <c r="T56" i="26"/>
  <c r="AC56" i="26"/>
  <c r="Z56" i="26"/>
  <c r="W56" i="26"/>
  <c r="P55" i="26"/>
  <c r="BK55" i="26"/>
  <c r="BH55" i="26"/>
  <c r="T55" i="26"/>
  <c r="R55" i="26"/>
  <c r="P54" i="26"/>
  <c r="BK54" i="26"/>
  <c r="BF76" i="24"/>
  <c r="P75" i="24"/>
  <c r="BK75" i="24" s="1"/>
  <c r="BH75" i="24" s="1"/>
  <c r="T75" i="24" s="1"/>
  <c r="P74" i="24"/>
  <c r="BK74" i="24" s="1"/>
  <c r="BH74" i="24"/>
  <c r="T74" i="24" s="1"/>
  <c r="P73" i="24"/>
  <c r="BK73" i="24" s="1"/>
  <c r="BH73" i="24" s="1"/>
  <c r="T73" i="24" s="1"/>
  <c r="P72" i="24"/>
  <c r="BK72" i="24" s="1"/>
  <c r="BH72" i="24"/>
  <c r="T72" i="24" s="1"/>
  <c r="P71" i="24"/>
  <c r="BK71" i="24" s="1"/>
  <c r="BH71" i="24" s="1"/>
  <c r="T71" i="24" s="1"/>
  <c r="P70" i="24"/>
  <c r="BK70" i="24"/>
  <c r="BH70" i="24"/>
  <c r="T70" i="24" s="1"/>
  <c r="P69" i="24"/>
  <c r="BK69" i="24" s="1"/>
  <c r="BH69" i="24" s="1"/>
  <c r="T69" i="24" s="1"/>
  <c r="AL86" i="26"/>
  <c r="AJ70" i="21"/>
  <c r="AJ68" i="21"/>
  <c r="I74" i="26"/>
  <c r="T74" i="26"/>
  <c r="N77" i="26"/>
  <c r="T77" i="26"/>
  <c r="AC58" i="26"/>
  <c r="Z58" i="26"/>
  <c r="W58" i="26"/>
  <c r="R58" i="26"/>
  <c r="Z57" i="26"/>
  <c r="W57" i="26"/>
  <c r="R57" i="26"/>
  <c r="AC57" i="26"/>
  <c r="R56" i="26"/>
  <c r="M65" i="26"/>
  <c r="M66" i="26"/>
  <c r="T61" i="26"/>
  <c r="W61" i="26"/>
  <c r="Z60" i="26"/>
  <c r="W60" i="26"/>
  <c r="R60" i="26"/>
  <c r="AC60" i="26"/>
  <c r="BK61" i="26"/>
  <c r="R61" i="26"/>
  <c r="P64" i="26"/>
  <c r="Z54" i="26"/>
  <c r="AC54" i="26"/>
  <c r="Z55" i="26"/>
  <c r="W55" i="26"/>
  <c r="AC55" i="26"/>
  <c r="Z59" i="26"/>
  <c r="W59" i="26"/>
  <c r="T64" i="26"/>
  <c r="P65" i="26"/>
  <c r="T65" i="26"/>
  <c r="P66" i="26"/>
  <c r="T66" i="26"/>
  <c r="AC61" i="26"/>
  <c r="W54" i="26"/>
  <c r="Z61" i="26"/>
  <c r="Z70" i="24" l="1"/>
  <c r="W70" i="24" s="1"/>
  <c r="AC70" i="24"/>
  <c r="R70" i="24"/>
  <c r="AC72" i="24"/>
  <c r="R72" i="24"/>
  <c r="Z72" i="24"/>
  <c r="W72" i="24" s="1"/>
  <c r="R74" i="24"/>
  <c r="AC74" i="24"/>
  <c r="Z74" i="24"/>
  <c r="W74" i="24" s="1"/>
  <c r="Z75" i="24"/>
  <c r="W75" i="24" s="1"/>
  <c r="R75" i="24" s="1"/>
  <c r="AC75" i="24" s="1"/>
  <c r="Z73" i="24"/>
  <c r="W73" i="24" s="1"/>
  <c r="R73" i="24" s="1"/>
  <c r="AC73" i="24" s="1"/>
  <c r="P76" i="24"/>
  <c r="M79" i="24" s="1"/>
  <c r="M81" i="24" s="1"/>
  <c r="Z71" i="24"/>
  <c r="W71" i="24" s="1"/>
  <c r="R71" i="24"/>
  <c r="AC71" i="24" s="1"/>
  <c r="BK76" i="24"/>
  <c r="Z69" i="24"/>
  <c r="T76" i="24"/>
  <c r="BH76" i="24"/>
  <c r="M80" i="24" l="1"/>
  <c r="Z76" i="24"/>
  <c r="W69" i="24"/>
  <c r="R69" i="24" s="1"/>
  <c r="R76" i="24" l="1"/>
  <c r="AC69" i="24"/>
  <c r="AC76" i="24" s="1"/>
  <c r="W76" i="24" l="1"/>
  <c r="P79" i="24"/>
  <c r="P80" i="24" l="1"/>
  <c r="T80" i="24" s="1"/>
  <c r="P81" i="24"/>
  <c r="T81" i="24" s="1"/>
  <c r="T79" i="24"/>
</calcChain>
</file>

<file path=xl/sharedStrings.xml><?xml version="1.0" encoding="utf-8"?>
<sst xmlns="http://schemas.openxmlformats.org/spreadsheetml/2006/main" count="510" uniqueCount="233">
  <si>
    <t>FICHA DE INFORMAÇÕES FUNCIONAIS (FIF)</t>
  </si>
  <si>
    <t>ADMISSÃO</t>
  </si>
  <si>
    <t>ALTERAÇÃO</t>
  </si>
  <si>
    <t>FÉRIAS</t>
  </si>
  <si>
    <t>SEXO</t>
  </si>
  <si>
    <t xml:space="preserve"> </t>
  </si>
  <si>
    <t>ESTADO CIVIL</t>
  </si>
  <si>
    <t>GRAU DE INSTRUÇÃO</t>
  </si>
  <si>
    <t>/</t>
  </si>
  <si>
    <t>DATA DE ADMISSÃO</t>
  </si>
  <si>
    <t>UF</t>
  </si>
  <si>
    <t>-</t>
  </si>
  <si>
    <t>BAIRRO</t>
  </si>
  <si>
    <t>MUNICÍPIO</t>
  </si>
  <si>
    <t>CEP</t>
  </si>
  <si>
    <t>:</t>
  </si>
  <si>
    <t>PERÍODO AQUISITIVO</t>
  </si>
  <si>
    <t>EMPREGADO</t>
  </si>
  <si>
    <t>SIM</t>
  </si>
  <si>
    <t>NÃO</t>
  </si>
  <si>
    <t>ASSINATURA</t>
  </si>
  <si>
    <t>ATUALIZAÇÃO</t>
  </si>
  <si>
    <t>C.P.F.</t>
  </si>
  <si>
    <t>RESCISÃO</t>
  </si>
  <si>
    <t>REEMPREGO</t>
  </si>
  <si>
    <t>ZONA</t>
  </si>
  <si>
    <t>SEÇÃO</t>
  </si>
  <si>
    <t>EMPREGADOR</t>
  </si>
  <si>
    <t>TIPO</t>
  </si>
  <si>
    <t>DATA DE EXECUÇÃO</t>
  </si>
  <si>
    <t>DATA DE LIBERAÇÃO</t>
  </si>
  <si>
    <t>CARGO</t>
  </si>
  <si>
    <t>EXPEDIÇÃO</t>
  </si>
  <si>
    <t xml:space="preserve">     MATRIZ</t>
  </si>
  <si>
    <t xml:space="preserve"> FILIAL</t>
  </si>
  <si>
    <t xml:space="preserve">       CADASTRO</t>
  </si>
  <si>
    <t xml:space="preserve">  NASCIMENTO</t>
  </si>
  <si>
    <t xml:space="preserve">   </t>
  </si>
  <si>
    <t xml:space="preserve">     PIS</t>
  </si>
  <si>
    <t xml:space="preserve"> UF</t>
  </si>
  <si>
    <t>LOGRADOURO</t>
  </si>
  <si>
    <t>ENDEREÇO</t>
  </si>
  <si>
    <t>N°</t>
  </si>
  <si>
    <t>RAÇA</t>
  </si>
  <si>
    <t>DEFICIÊNCIA</t>
  </si>
  <si>
    <t>NACIONALIDADE</t>
  </si>
  <si>
    <t>CHEGADA</t>
  </si>
  <si>
    <t>SÉRIE</t>
  </si>
  <si>
    <t>N° RG</t>
  </si>
  <si>
    <t>ORGÃO EMISSOR</t>
  </si>
  <si>
    <t>TÍTULO ELEITORAL</t>
  </si>
  <si>
    <t>CNH</t>
  </si>
  <si>
    <t>CAT. CNH</t>
  </si>
  <si>
    <t>DADOS PESSOAIS</t>
  </si>
  <si>
    <t>DADOS DO CONTRATO</t>
  </si>
  <si>
    <r>
      <t xml:space="preserve">TIPO DO CONTRATO
</t>
    </r>
    <r>
      <rPr>
        <sz val="8"/>
        <rFont val="Arial"/>
        <family val="2"/>
      </rPr>
      <t>(Empregado, Aprendiz
 ou Estagiário)</t>
    </r>
  </si>
  <si>
    <t>DEPTO</t>
  </si>
  <si>
    <t>1° EMPREGO</t>
  </si>
  <si>
    <t>RECEBENDO SEGURO ?</t>
  </si>
  <si>
    <t>INSALUBRIDADE</t>
  </si>
  <si>
    <t xml:space="preserve">    PERICULOSIDADE</t>
  </si>
  <si>
    <t>PRODUTIVIDADE</t>
  </si>
  <si>
    <t>____________________</t>
  </si>
  <si>
    <t>ADICIONAIS</t>
  </si>
  <si>
    <t>R$</t>
  </si>
  <si>
    <t>SALÁRIO CONTRATUAL</t>
  </si>
  <si>
    <t>DESCONTAR SINDICAL ?</t>
  </si>
  <si>
    <t>Q° DIAS CONTRATO EXPERIENCIA INICIAL</t>
  </si>
  <si>
    <t>VALE TRANSPORTE</t>
  </si>
  <si>
    <t>QUANTIDADE</t>
  </si>
  <si>
    <t>ESCALA DE TRABALHO</t>
  </si>
  <si>
    <t>Segunda</t>
  </si>
  <si>
    <t>Terça</t>
  </si>
  <si>
    <t>Quarta</t>
  </si>
  <si>
    <t>Quinta</t>
  </si>
  <si>
    <t>Sexta</t>
  </si>
  <si>
    <t>Sábado</t>
  </si>
  <si>
    <t>MÃE</t>
  </si>
  <si>
    <t>PAI</t>
  </si>
  <si>
    <t>OBS:</t>
  </si>
  <si>
    <t>a</t>
  </si>
  <si>
    <t>ABONO PECUNIÁRIO ?</t>
  </si>
  <si>
    <t>Sim</t>
  </si>
  <si>
    <t>Não</t>
  </si>
  <si>
    <t xml:space="preserve">CAUSA DEMISSÃO </t>
  </si>
  <si>
    <t>Pedido de demissão</t>
  </si>
  <si>
    <t>Dispensa SEM justa causa</t>
  </si>
  <si>
    <t>Dispensa COM justa causa</t>
  </si>
  <si>
    <t>INFORMAÇÕES DA RESCISÃO</t>
  </si>
  <si>
    <t>DATA DE DEMISSÃO</t>
  </si>
  <si>
    <t>MOTIVO</t>
  </si>
  <si>
    <t>REDUÇÃO DE QUADRO</t>
  </si>
  <si>
    <t>Q° DE DIAS DE AVISO</t>
  </si>
  <si>
    <t>REDUÇÃO 02 HORAS</t>
  </si>
  <si>
    <t>REDUÇÃO 07 DIAS</t>
  </si>
  <si>
    <t>DISPENSAR DESCONTO</t>
  </si>
  <si>
    <t>DATA INICIAL</t>
  </si>
  <si>
    <t>BARREIRA &amp; ASSOCIADOS CONTABIL SS                  CNPJ: 03.104.468/0001-14                  FONE: 3266-1323</t>
  </si>
  <si>
    <t>( Av / Rua / Tv / Pv
 / Outros)</t>
  </si>
  <si>
    <t>Q° DEPENDENTES SALÁRIO FAMÍLIA</t>
  </si>
  <si>
    <t xml:space="preserve">Até 5 (cinco) anos anexar a certidão de nascimento e cópia do cartão de vacinação, a partir de </t>
  </si>
  <si>
    <t>Q° DIAS CONTRATO PRORROGAÇÃO</t>
  </si>
  <si>
    <t>6 (seis) anos enviar a certidão de nascimento e a frequencia escolar.</t>
  </si>
  <si>
    <t>TIPO DE VISTO</t>
  </si>
  <si>
    <t>R</t>
  </si>
  <si>
    <t>Obs.: Enviar informações de faltas, horas extras, gratificações, descontos e outros proventos ou descontos antecipadamente.</t>
  </si>
  <si>
    <t>PERÍODO DE FÉRIAS</t>
  </si>
  <si>
    <t>Término de contrato no prazo</t>
  </si>
  <si>
    <t>PARA USO DO CLIENTE</t>
  </si>
  <si>
    <t>DATA DE SOLICITAÇÃO</t>
  </si>
  <si>
    <t>PARA USO DO DEPT° PESSOAL</t>
  </si>
  <si>
    <t xml:space="preserve">  MUNICÍPIO NASCIMENTO</t>
  </si>
  <si>
    <t>N° CTPS</t>
  </si>
  <si>
    <t>OBS.:</t>
  </si>
  <si>
    <t>PAÍS DE ORIGEM</t>
  </si>
  <si>
    <t/>
  </si>
  <si>
    <t>EMPREGADO TRABALHA ATÉ</t>
  </si>
  <si>
    <t>Somente Para Demisão Sem Justa Causa</t>
  </si>
  <si>
    <t>Término contrato antecipado pelo empregador</t>
  </si>
  <si>
    <t>Pedido antecipado de Contrato pelo empregado</t>
  </si>
  <si>
    <t>Início Intervalo</t>
  </si>
  <si>
    <t>Fim Intervalo</t>
  </si>
  <si>
    <t>Saída</t>
  </si>
  <si>
    <t xml:space="preserve"> Entrada</t>
  </si>
  <si>
    <t>Horas Trab</t>
  </si>
  <si>
    <t xml:space="preserve">   NÃO</t>
  </si>
  <si>
    <t>Jornada Mensal</t>
  </si>
  <si>
    <r>
      <t xml:space="preserve">AVISO PRÉVIO </t>
    </r>
    <r>
      <rPr>
        <b/>
        <u/>
        <sz val="10"/>
        <rFont val="Arial"/>
        <family val="2"/>
      </rPr>
      <t>TRABALHADO?</t>
    </r>
  </si>
  <si>
    <t>Somente para Dispensa Sem Justa Causa</t>
  </si>
  <si>
    <t>Somente para Demisão Sem Justa Causa</t>
  </si>
  <si>
    <t>Qt. de Dias de Aviso</t>
  </si>
  <si>
    <t>Redução 02 Horas</t>
  </si>
  <si>
    <t>TELEFONE</t>
  </si>
  <si>
    <t>DATA DO AVISO</t>
  </si>
  <si>
    <t>Dependente 1</t>
  </si>
  <si>
    <t>Data Nascimento</t>
  </si>
  <si>
    <t>CPF</t>
  </si>
  <si>
    <t>Nome do Dependente</t>
  </si>
  <si>
    <t>Dependente 2</t>
  </si>
  <si>
    <t>Dependente 3</t>
  </si>
  <si>
    <t>Dependente 4</t>
  </si>
  <si>
    <t>Dependente 5</t>
  </si>
  <si>
    <t>APRENDIZ</t>
  </si>
  <si>
    <t>ESTAGIÁRIO</t>
  </si>
  <si>
    <t>DT CHEGADA</t>
  </si>
  <si>
    <t>TIPO DE CONTRATO</t>
  </si>
  <si>
    <t>CBO</t>
  </si>
  <si>
    <t>http://www.mtecbo.gov.br/cbosite/pages/pesquisas/BuscaPorTitulo.jsf</t>
  </si>
  <si>
    <t>TIPO DE JORNADA</t>
  </si>
  <si>
    <t>JORNADA COM HORÁRIO DIÁRIO E FOLGA FIXO</t>
  </si>
  <si>
    <t>JORNADA 12 X 36 (12 horas de trabalho de 36 horas ininterruptas de descanso)</t>
  </si>
  <si>
    <t>JORNADA COM HORÁRIO DIÁRIO FIXO E FOLGA VARIÁVEL</t>
  </si>
  <si>
    <t>Consultar cargo:</t>
  </si>
  <si>
    <t>QUANT DEPENDENTES SALÁRIO FAMÍLIA</t>
  </si>
  <si>
    <t>ADMISSIONAL</t>
  </si>
  <si>
    <t>VALE TRANASPORTE</t>
  </si>
  <si>
    <t>ALTERAÇÃO DADOS</t>
  </si>
  <si>
    <t>CTPS DIGITAL?</t>
  </si>
  <si>
    <t>RG</t>
  </si>
  <si>
    <t>OBS: SE A OPÇÃO FOR "SIM" NÃO PRECISA PREENCHER OS DADOS DA CARTEIRA DE TRABALHO.</t>
  </si>
  <si>
    <t>Redução 7 Dias</t>
  </si>
  <si>
    <t>DIAS</t>
  </si>
  <si>
    <t xml:space="preserve"> A</t>
  </si>
  <si>
    <t>A</t>
  </si>
  <si>
    <t>QUANT</t>
  </si>
  <si>
    <t>INÍCIO DAS FÉRIAS</t>
  </si>
  <si>
    <t>FINAL DAS FÉRIAS</t>
  </si>
  <si>
    <t>PERÍODO DO ABONO</t>
  </si>
  <si>
    <t>AVISO PRÉVIO TRABALHADO?</t>
  </si>
  <si>
    <t>INÍCIO DO ABONO</t>
  </si>
  <si>
    <t>FINAL DO ABONO</t>
  </si>
  <si>
    <t>Mútuo acordo</t>
  </si>
  <si>
    <t>MOTIVO ALTERAÇÃO SALARIAL</t>
  </si>
  <si>
    <t>Antecipação</t>
  </si>
  <si>
    <t>Espontaneo</t>
  </si>
  <si>
    <t>Reajuste Salarial</t>
  </si>
  <si>
    <t xml:space="preserve">        E-MAIL</t>
  </si>
  <si>
    <t>Será Dispensado o  Desconto Aviso Prévio no pedido de demissão</t>
  </si>
  <si>
    <t>INTERMITENTE</t>
  </si>
  <si>
    <t xml:space="preserve">       DATA DE ADMISSÃO</t>
  </si>
  <si>
    <t>CE</t>
  </si>
  <si>
    <t>,</t>
  </si>
  <si>
    <t>JORNADA SEMANAL</t>
  </si>
  <si>
    <t>Dias</t>
  </si>
  <si>
    <t>Entrada</t>
  </si>
  <si>
    <t>Intervalo</t>
  </si>
  <si>
    <t>Horas trabalhadas por Dia</t>
  </si>
  <si>
    <t>Inicio Hora Noturna</t>
  </si>
  <si>
    <t>Horas Trab Nortunas</t>
  </si>
  <si>
    <t>HORAS NOTURNAS E ACRÉSCIMOS</t>
  </si>
  <si>
    <t>DSR Sem acréscimo</t>
  </si>
  <si>
    <t>Jornarda c/ Acrescimo</t>
  </si>
  <si>
    <t>Horas a Acrescentar</t>
  </si>
  <si>
    <t>Horas Trab Noturnas</t>
  </si>
  <si>
    <t>Horas Trab Diurnas</t>
  </si>
  <si>
    <t>SEG</t>
  </si>
  <si>
    <t>TER</t>
  </si>
  <si>
    <t>QUA</t>
  </si>
  <si>
    <t>QUI</t>
  </si>
  <si>
    <t>SEX</t>
  </si>
  <si>
    <t>SAB</t>
  </si>
  <si>
    <t>DOM</t>
  </si>
  <si>
    <t>TOTAIS ....................................................</t>
  </si>
  <si>
    <t>Trab.Diurno</t>
  </si>
  <si>
    <t>Trab.Noturno</t>
  </si>
  <si>
    <t>Horas Exced</t>
  </si>
  <si>
    <t>HORAS TRABALHADAS SEMANAL:</t>
  </si>
  <si>
    <t>JORNADA MENSAL :</t>
  </si>
  <si>
    <t>HORAS DSR</t>
  </si>
  <si>
    <t>JORNADA MÁXIMA DE TRABALHO:</t>
  </si>
  <si>
    <t>Horas</t>
  </si>
  <si>
    <t>OBSERVAÇÃO PARA PREENCHIMENTO</t>
  </si>
  <si>
    <t>Semanal:.............</t>
  </si>
  <si>
    <t>Mensal:...............</t>
  </si>
  <si>
    <t>A partir de</t>
  </si>
  <si>
    <t>JORNADA 12 X 60 (12 horas de trabalho de 60 horas ininterruptas de descanso)</t>
  </si>
  <si>
    <t>01:00 da madrugada  = Digitar 25:00</t>
  </si>
  <si>
    <t>02:00 da madrugada  = Digitar 26:00</t>
  </si>
  <si>
    <t>03:00 da madrugada  = Digitar 27:00</t>
  </si>
  <si>
    <t>04:00 da madrugada  = Digitar 28:00</t>
  </si>
  <si>
    <t>05:00 da madrugada  = Digitar 29:00</t>
  </si>
  <si>
    <t>06:00 da madrugada  = Digitar 30:00</t>
  </si>
  <si>
    <t xml:space="preserve">     12:00 da noite = Digitar 24:00</t>
  </si>
  <si>
    <t>HORAS DSR:</t>
  </si>
  <si>
    <t>DIAS DE DIREITO</t>
  </si>
  <si>
    <t xml:space="preserve">PERÍODO DO ABONO </t>
  </si>
  <si>
    <t>No Início das Férias</t>
  </si>
  <si>
    <t>No Final das Férias</t>
  </si>
  <si>
    <t>30</t>
  </si>
  <si>
    <t>INFORMAÇÕES DAS FÉRIAS</t>
  </si>
  <si>
    <t>OBSERVAÇÃO: PREENCHER APENAS OS CAMPOS EM BRANCO, OS DEMAIS É PREENCHIDO AUTOMÁTICAMENTE.</t>
  </si>
  <si>
    <t>DEMAIS TIPOS DE JORNADA (INTERMITENTE E OUTRAS JORNADAS)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</si>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</sst>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hh]:mm:ss"/>
    <numFmt numFmtId="166" formatCode="[h]:mm"/>
  </numFmts>
  <fonts count="34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sz val="16"/>
      <color indexed="13"/>
      <name val="Arial"/>
      <family val="2"/>
    </font>
    <font>
      <sz val="14"/>
      <color indexed="13"/>
      <name val="Arial"/>
      <family val="2"/>
    </font>
    <font>
      <sz val="22"/>
      <name val="Arial"/>
      <family val="2"/>
    </font>
    <font>
      <sz val="11"/>
      <name val="Arial"/>
      <family val="2"/>
    </font>
    <font>
      <sz val="7"/>
      <name val="Arial"/>
      <family val="2"/>
    </font>
    <font>
      <sz val="16"/>
      <name val="Arial"/>
      <family val="2"/>
    </font>
    <font>
      <sz val="18"/>
      <name val="Boulder"/>
    </font>
    <font>
      <u/>
      <sz val="10"/>
      <name val="Arial"/>
      <family val="2"/>
    </font>
    <font>
      <u/>
      <sz val="9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u/>
      <sz val="16"/>
      <name val="Arial"/>
      <family val="2"/>
    </font>
    <font>
      <u/>
      <sz val="7"/>
      <name val="Arial"/>
      <family val="2"/>
    </font>
    <font>
      <b/>
      <sz val="8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7"/>
      <name val="Arial"/>
      <family val="2"/>
    </font>
    <font>
      <b/>
      <sz val="13"/>
      <name val="Arial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sz val="13"/>
      <name val="Arial"/>
      <family val="2"/>
    </font>
    <font>
      <b/>
      <u/>
      <sz val="13"/>
      <name val="Arial"/>
      <family val="2"/>
    </font>
    <font>
      <b/>
      <sz val="12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49" fontId="0" fillId="0" borderId="0"/>
    <xf numFmtId="164" fontId="1" fillId="0" borderId="0" applyFont="0" applyFill="0" applyBorder="0" applyAlignment="0" applyProtection="0"/>
  </cellStyleXfs>
  <cellXfs count="727">
    <xf numFmtId="49" fontId="0" fillId="0" borderId="0" xfId="0"/>
    <xf numFmtId="49" fontId="7" fillId="2" borderId="0" xfId="0" applyFont="1" applyFill="1" applyAlignment="1" applyProtection="1">
      <alignment vertical="top"/>
      <protection locked="0"/>
    </xf>
    <xf numFmtId="49" fontId="5" fillId="2" borderId="0" xfId="0" applyFont="1" applyFill="1" applyProtection="1">
      <protection locked="0"/>
    </xf>
    <xf numFmtId="49" fontId="5" fillId="2" borderId="0" xfId="0" applyFont="1" applyFill="1" applyAlignment="1" applyProtection="1">
      <alignment horizontal="center"/>
      <protection locked="0"/>
    </xf>
    <xf numFmtId="49" fontId="5" fillId="2" borderId="0" xfId="0" applyFont="1" applyFill="1" applyAlignment="1" applyProtection="1">
      <alignment vertical="top"/>
      <protection locked="0"/>
    </xf>
    <xf numFmtId="49" fontId="2" fillId="0" borderId="0" xfId="0" applyFont="1" applyProtection="1">
      <protection locked="0"/>
    </xf>
    <xf numFmtId="49" fontId="1" fillId="2" borderId="0" xfId="0" applyFont="1" applyFill="1" applyProtection="1">
      <protection locked="0"/>
    </xf>
    <xf numFmtId="49" fontId="1" fillId="2" borderId="0" xfId="0" applyFont="1" applyFill="1" applyAlignment="1" applyProtection="1">
      <alignment horizontal="center"/>
      <protection locked="0"/>
    </xf>
    <xf numFmtId="49" fontId="10" fillId="0" borderId="0" xfId="0" applyFont="1" applyProtection="1">
      <protection locked="0"/>
    </xf>
    <xf numFmtId="49" fontId="11" fillId="0" borderId="0" xfId="0" applyFont="1" applyProtection="1">
      <protection locked="0"/>
    </xf>
    <xf numFmtId="49" fontId="5" fillId="6" borderId="0" xfId="0" applyFont="1" applyFill="1" applyProtection="1">
      <protection locked="0"/>
    </xf>
    <xf numFmtId="49" fontId="7" fillId="2" borderId="0" xfId="0" applyFont="1" applyFill="1" applyProtection="1">
      <protection locked="0"/>
    </xf>
    <xf numFmtId="49" fontId="7" fillId="2" borderId="0" xfId="0" applyFont="1" applyFill="1" applyAlignment="1" applyProtection="1">
      <alignment horizontal="centerContinuous"/>
      <protection locked="0"/>
    </xf>
    <xf numFmtId="49" fontId="7" fillId="2" borderId="0" xfId="0" applyFont="1" applyFill="1" applyAlignment="1" applyProtection="1">
      <alignment horizontal="left"/>
      <protection locked="0"/>
    </xf>
    <xf numFmtId="49" fontId="13" fillId="2" borderId="0" xfId="0" applyFont="1" applyFill="1" applyAlignment="1" applyProtection="1">
      <alignment horizontal="left"/>
      <protection locked="0"/>
    </xf>
    <xf numFmtId="49" fontId="5" fillId="6" borderId="1" xfId="0" applyFont="1" applyFill="1" applyBorder="1" applyProtection="1">
      <protection locked="0"/>
    </xf>
    <xf numFmtId="49" fontId="1" fillId="6" borderId="2" xfId="0" applyFont="1" applyFill="1" applyBorder="1" applyProtection="1">
      <protection locked="0"/>
    </xf>
    <xf numFmtId="49" fontId="5" fillId="6" borderId="0" xfId="0" applyFont="1" applyFill="1" applyAlignment="1" applyProtection="1">
      <alignment vertical="center"/>
      <protection locked="0"/>
    </xf>
    <xf numFmtId="49" fontId="15" fillId="0" borderId="0" xfId="0" applyFont="1" applyProtection="1">
      <protection locked="0"/>
    </xf>
    <xf numFmtId="49" fontId="16" fillId="0" borderId="0" xfId="0" applyFont="1" applyProtection="1">
      <protection locked="0"/>
    </xf>
    <xf numFmtId="49" fontId="1" fillId="0" borderId="0" xfId="0" applyFont="1" applyProtection="1">
      <protection locked="0"/>
    </xf>
    <xf numFmtId="49" fontId="7" fillId="0" borderId="0" xfId="0" applyFont="1" applyAlignment="1" applyProtection="1">
      <alignment horizontal="centerContinuous"/>
      <protection locked="0"/>
    </xf>
    <xf numFmtId="49" fontId="1" fillId="6" borderId="1" xfId="0" applyFont="1" applyFill="1" applyBorder="1" applyProtection="1">
      <protection locked="0"/>
    </xf>
    <xf numFmtId="49" fontId="1" fillId="6" borderId="0" xfId="0" applyFont="1" applyFill="1" applyProtection="1">
      <protection locked="0"/>
    </xf>
    <xf numFmtId="49" fontId="1" fillId="2" borderId="3" xfId="0" applyFont="1" applyFill="1" applyBorder="1" applyProtection="1">
      <protection locked="0"/>
    </xf>
    <xf numFmtId="49" fontId="7" fillId="2" borderId="3" xfId="0" applyFont="1" applyFill="1" applyBorder="1" applyAlignment="1" applyProtection="1">
      <alignment horizontal="left"/>
      <protection locked="0"/>
    </xf>
    <xf numFmtId="49" fontId="7" fillId="0" borderId="0" xfId="0" applyFont="1" applyProtection="1">
      <protection locked="0"/>
    </xf>
    <xf numFmtId="0" fontId="1" fillId="6" borderId="0" xfId="0" applyNumberFormat="1" applyFont="1" applyFill="1" applyProtection="1">
      <protection locked="0"/>
    </xf>
    <xf numFmtId="0" fontId="13" fillId="6" borderId="0" xfId="0" applyNumberFormat="1" applyFont="1" applyFill="1" applyProtection="1">
      <protection locked="0"/>
    </xf>
    <xf numFmtId="0" fontId="13" fillId="6" borderId="1" xfId="0" applyNumberFormat="1" applyFont="1" applyFill="1" applyBorder="1" applyProtection="1">
      <protection locked="0"/>
    </xf>
    <xf numFmtId="0" fontId="13" fillId="6" borderId="0" xfId="0" applyNumberFormat="1" applyFont="1" applyFill="1" applyAlignment="1" applyProtection="1">
      <alignment horizontal="left"/>
      <protection locked="0"/>
    </xf>
    <xf numFmtId="49" fontId="1" fillId="0" borderId="0" xfId="0" applyFont="1" applyAlignment="1" applyProtection="1">
      <alignment vertical="center"/>
      <protection locked="0"/>
    </xf>
    <xf numFmtId="49" fontId="5" fillId="0" borderId="0" xfId="0" applyFont="1" applyProtection="1">
      <protection locked="0"/>
    </xf>
    <xf numFmtId="49" fontId="1" fillId="0" borderId="0" xfId="0" applyFont="1" applyAlignment="1" applyProtection="1">
      <alignment horizontal="center"/>
      <protection locked="0"/>
    </xf>
    <xf numFmtId="49" fontId="1" fillId="0" borderId="3" xfId="0" applyFont="1" applyBorder="1" applyProtection="1">
      <protection locked="0"/>
    </xf>
    <xf numFmtId="49" fontId="1" fillId="0" borderId="2" xfId="0" applyFont="1" applyBorder="1" applyProtection="1">
      <protection locked="0"/>
    </xf>
    <xf numFmtId="49" fontId="1" fillId="0" borderId="4" xfId="0" applyFont="1" applyBorder="1" applyProtection="1">
      <protection locked="0"/>
    </xf>
    <xf numFmtId="49" fontId="1" fillId="0" borderId="0" xfId="0" applyFont="1" applyAlignment="1" applyProtection="1">
      <alignment vertical="top"/>
      <protection locked="0"/>
    </xf>
    <xf numFmtId="49" fontId="1" fillId="0" borderId="5" xfId="0" applyFont="1" applyBorder="1" applyAlignment="1" applyProtection="1">
      <alignment vertical="top"/>
      <protection locked="0"/>
    </xf>
    <xf numFmtId="49" fontId="1" fillId="0" borderId="6" xfId="0" applyFont="1" applyBorder="1" applyAlignment="1" applyProtection="1">
      <alignment vertical="top"/>
      <protection locked="0"/>
    </xf>
    <xf numFmtId="49" fontId="17" fillId="0" borderId="0" xfId="0" applyFont="1" applyProtection="1">
      <protection locked="0"/>
    </xf>
    <xf numFmtId="49" fontId="5" fillId="6" borderId="1" xfId="0" applyFont="1" applyFill="1" applyBorder="1" applyAlignment="1" applyProtection="1">
      <alignment horizontal="center"/>
      <protection locked="0"/>
    </xf>
    <xf numFmtId="49" fontId="5" fillId="6" borderId="0" xfId="0" applyFont="1" applyFill="1" applyAlignment="1" applyProtection="1">
      <alignment horizontal="center" vertical="top" wrapText="1"/>
      <protection locked="0"/>
    </xf>
    <xf numFmtId="49" fontId="5" fillId="6" borderId="0" xfId="0" applyFont="1" applyFill="1" applyAlignment="1" applyProtection="1">
      <alignment vertical="top"/>
      <protection locked="0"/>
    </xf>
    <xf numFmtId="49" fontId="5" fillId="6" borderId="1" xfId="0" applyFont="1" applyFill="1" applyBorder="1" applyAlignment="1" applyProtection="1">
      <alignment horizontal="right" vertical="center"/>
      <protection locked="0"/>
    </xf>
    <xf numFmtId="0" fontId="13" fillId="6" borderId="0" xfId="0" applyNumberFormat="1" applyFont="1" applyFill="1" applyAlignment="1" applyProtection="1">
      <alignment horizontal="center"/>
      <protection locked="0"/>
    </xf>
    <xf numFmtId="49" fontId="7" fillId="2" borderId="0" xfId="0" applyFont="1" applyFill="1" applyAlignment="1" applyProtection="1">
      <alignment horizontal="center"/>
      <protection locked="0"/>
    </xf>
    <xf numFmtId="49" fontId="1" fillId="2" borderId="0" xfId="0" applyFont="1" applyFill="1" applyAlignment="1" applyProtection="1">
      <alignment vertical="center"/>
      <protection locked="0"/>
    </xf>
    <xf numFmtId="0" fontId="5" fillId="6" borderId="1" xfId="0" applyNumberFormat="1" applyFont="1" applyFill="1" applyBorder="1" applyAlignment="1" applyProtection="1">
      <alignment horizontal="center" vertical="center"/>
      <protection locked="0"/>
    </xf>
    <xf numFmtId="49" fontId="14" fillId="6" borderId="0" xfId="0" applyFont="1" applyFill="1" applyAlignment="1" applyProtection="1">
      <alignment horizontal="center" wrapText="1"/>
      <protection locked="0"/>
    </xf>
    <xf numFmtId="49" fontId="5" fillId="6" borderId="0" xfId="0" applyFont="1" applyFill="1" applyAlignment="1" applyProtection="1">
      <alignment horizontal="center" vertical="top"/>
      <protection locked="0"/>
    </xf>
    <xf numFmtId="49" fontId="5" fillId="6" borderId="0" xfId="0" applyFont="1" applyFill="1" applyAlignment="1" applyProtection="1">
      <alignment vertical="center" wrapText="1"/>
      <protection locked="0"/>
    </xf>
    <xf numFmtId="49" fontId="1" fillId="2" borderId="7" xfId="0" applyFont="1" applyFill="1" applyBorder="1" applyAlignment="1" applyProtection="1">
      <alignment horizontal="center" vertical="center"/>
      <protection locked="0"/>
    </xf>
    <xf numFmtId="49" fontId="15" fillId="2" borderId="0" xfId="0" applyFont="1" applyFill="1" applyAlignment="1" applyProtection="1">
      <alignment vertical="top"/>
      <protection locked="0"/>
    </xf>
    <xf numFmtId="49" fontId="13" fillId="2" borderId="0" xfId="0" applyFont="1" applyFill="1" applyAlignment="1" applyProtection="1">
      <alignment vertical="center"/>
      <protection locked="0"/>
    </xf>
    <xf numFmtId="49" fontId="15" fillId="2" borderId="0" xfId="0" applyFont="1" applyFill="1" applyAlignment="1" applyProtection="1">
      <alignment vertical="center"/>
      <protection locked="0"/>
    </xf>
    <xf numFmtId="49" fontId="18" fillId="6" borderId="5" xfId="0" applyFont="1" applyFill="1" applyBorder="1" applyAlignment="1" applyProtection="1">
      <alignment horizontal="center" vertical="center"/>
      <protection locked="0"/>
    </xf>
    <xf numFmtId="49" fontId="7" fillId="2" borderId="8" xfId="0" applyFont="1" applyFill="1" applyBorder="1" applyProtection="1">
      <protection locked="0"/>
    </xf>
    <xf numFmtId="49" fontId="7" fillId="2" borderId="8" xfId="0" applyFont="1" applyFill="1" applyBorder="1" applyAlignment="1" applyProtection="1">
      <alignment horizontal="centerContinuous"/>
      <protection locked="0"/>
    </xf>
    <xf numFmtId="49" fontId="1" fillId="2" borderId="8" xfId="0" applyFont="1" applyFill="1" applyBorder="1" applyProtection="1">
      <protection locked="0"/>
    </xf>
    <xf numFmtId="49" fontId="1" fillId="2" borderId="9" xfId="0" applyFont="1" applyFill="1" applyBorder="1" applyProtection="1">
      <protection locked="0"/>
    </xf>
    <xf numFmtId="49" fontId="7" fillId="2" borderId="8" xfId="0" applyFont="1" applyFill="1" applyBorder="1" applyAlignment="1" applyProtection="1">
      <alignment horizontal="left"/>
      <protection locked="0"/>
    </xf>
    <xf numFmtId="49" fontId="7" fillId="2" borderId="9" xfId="0" applyFont="1" applyFill="1" applyBorder="1" applyAlignment="1" applyProtection="1">
      <alignment horizontal="left"/>
      <protection locked="0"/>
    </xf>
    <xf numFmtId="49" fontId="13" fillId="2" borderId="8" xfId="0" applyFont="1" applyFill="1" applyBorder="1" applyAlignment="1" applyProtection="1">
      <alignment horizontal="left"/>
      <protection locked="0"/>
    </xf>
    <xf numFmtId="49" fontId="18" fillId="6" borderId="6" xfId="0" applyFont="1" applyFill="1" applyBorder="1" applyAlignment="1" applyProtection="1">
      <alignment horizontal="center" vertical="center"/>
      <protection locked="0"/>
    </xf>
    <xf numFmtId="49" fontId="1" fillId="0" borderId="0" xfId="0" applyFont="1" applyAlignment="1" applyProtection="1">
      <alignment horizontal="centerContinuous" vertical="top"/>
      <protection locked="0"/>
    </xf>
    <xf numFmtId="49" fontId="1" fillId="6" borderId="0" xfId="0" applyFont="1" applyFill="1" applyAlignment="1" applyProtection="1">
      <alignment vertical="top"/>
      <protection locked="0"/>
    </xf>
    <xf numFmtId="49" fontId="1" fillId="6" borderId="7" xfId="0" applyFont="1" applyFill="1" applyBorder="1" applyProtection="1">
      <protection locked="0"/>
    </xf>
    <xf numFmtId="49" fontId="7" fillId="2" borderId="7" xfId="0" applyFont="1" applyFill="1" applyBorder="1" applyAlignment="1" applyProtection="1">
      <alignment horizontal="left"/>
      <protection locked="0"/>
    </xf>
    <xf numFmtId="49" fontId="7" fillId="0" borderId="10" xfId="0" applyFont="1" applyBorder="1" applyAlignment="1" applyProtection="1">
      <alignment horizontal="centerContinuous"/>
      <protection locked="0"/>
    </xf>
    <xf numFmtId="49" fontId="7" fillId="0" borderId="11" xfId="0" applyFont="1" applyBorder="1" applyAlignment="1" applyProtection="1">
      <alignment horizontal="centerContinuous"/>
      <protection locked="0"/>
    </xf>
    <xf numFmtId="49" fontId="7" fillId="0" borderId="3" xfId="0" applyFont="1" applyBorder="1" applyAlignment="1" applyProtection="1">
      <alignment horizontal="centerContinuous"/>
      <protection locked="0"/>
    </xf>
    <xf numFmtId="49" fontId="7" fillId="0" borderId="9" xfId="0" applyFont="1" applyBorder="1" applyAlignment="1" applyProtection="1">
      <alignment horizontal="centerContinuous"/>
      <protection locked="0"/>
    </xf>
    <xf numFmtId="49" fontId="7" fillId="0" borderId="12" xfId="0" applyFont="1" applyBorder="1" applyAlignment="1" applyProtection="1">
      <alignment horizontal="centerContinuous"/>
      <protection locked="0"/>
    </xf>
    <xf numFmtId="49" fontId="1" fillId="0" borderId="13" xfId="0" applyFont="1" applyBorder="1" applyProtection="1">
      <protection locked="0"/>
    </xf>
    <xf numFmtId="49" fontId="18" fillId="6" borderId="11" xfId="0" applyFont="1" applyFill="1" applyBorder="1" applyAlignment="1" applyProtection="1">
      <alignment horizontal="center" vertical="center"/>
      <protection locked="0"/>
    </xf>
    <xf numFmtId="49" fontId="7" fillId="2" borderId="3" xfId="0" applyFont="1" applyFill="1" applyBorder="1" applyProtection="1">
      <protection locked="0"/>
    </xf>
    <xf numFmtId="49" fontId="7" fillId="2" borderId="3" xfId="0" applyFont="1" applyFill="1" applyBorder="1" applyAlignment="1" applyProtection="1">
      <alignment horizontal="centerContinuous"/>
      <protection locked="0"/>
    </xf>
    <xf numFmtId="49" fontId="13" fillId="2" borderId="3" xfId="0" applyFont="1" applyFill="1" applyBorder="1" applyAlignment="1" applyProtection="1">
      <alignment horizontal="left"/>
      <protection locked="0"/>
    </xf>
    <xf numFmtId="49" fontId="18" fillId="6" borderId="12" xfId="0" applyFont="1" applyFill="1" applyBorder="1" applyAlignment="1" applyProtection="1">
      <alignment horizontal="center" vertical="center"/>
      <protection locked="0"/>
    </xf>
    <xf numFmtId="49" fontId="15" fillId="2" borderId="2" xfId="0" applyFont="1" applyFill="1" applyBorder="1" applyAlignment="1" applyProtection="1">
      <alignment vertical="top"/>
      <protection locked="0"/>
    </xf>
    <xf numFmtId="49" fontId="21" fillId="6" borderId="2" xfId="0" applyFont="1" applyFill="1" applyBorder="1" applyAlignment="1" applyProtection="1">
      <alignment horizontal="center" vertical="center"/>
      <protection locked="0"/>
    </xf>
    <xf numFmtId="49" fontId="15" fillId="2" borderId="2" xfId="0" applyFont="1" applyFill="1" applyBorder="1" applyAlignment="1" applyProtection="1">
      <alignment vertical="center"/>
      <protection locked="0"/>
    </xf>
    <xf numFmtId="49" fontId="13" fillId="2" borderId="8" xfId="0" applyFont="1" applyFill="1" applyBorder="1" applyAlignment="1" applyProtection="1">
      <alignment vertical="center"/>
      <protection locked="0"/>
    </xf>
    <xf numFmtId="49" fontId="5" fillId="2" borderId="8" xfId="0" applyFont="1" applyFill="1" applyBorder="1" applyAlignment="1" applyProtection="1">
      <alignment vertical="center"/>
      <protection locked="0"/>
    </xf>
    <xf numFmtId="0" fontId="1" fillId="6" borderId="8" xfId="0" applyNumberFormat="1" applyFont="1" applyFill="1" applyBorder="1" applyProtection="1">
      <protection locked="0"/>
    </xf>
    <xf numFmtId="0" fontId="13" fillId="6" borderId="8" xfId="0" applyNumberFormat="1" applyFont="1" applyFill="1" applyBorder="1" applyProtection="1">
      <protection locked="0"/>
    </xf>
    <xf numFmtId="0" fontId="13" fillId="6" borderId="8" xfId="0" applyNumberFormat="1" applyFont="1" applyFill="1" applyBorder="1" applyAlignment="1" applyProtection="1">
      <alignment horizontal="center"/>
      <protection locked="0"/>
    </xf>
    <xf numFmtId="49" fontId="18" fillId="6" borderId="2" xfId="0" applyFont="1" applyFill="1" applyBorder="1" applyAlignment="1" applyProtection="1">
      <alignment horizontal="center" vertical="center"/>
      <protection locked="0"/>
    </xf>
    <xf numFmtId="49" fontId="1" fillId="6" borderId="0" xfId="0" applyFont="1" applyFill="1" applyAlignment="1" applyProtection="1">
      <alignment vertical="center"/>
      <protection locked="0"/>
    </xf>
    <xf numFmtId="49" fontId="1" fillId="6" borderId="2" xfId="0" applyFont="1" applyFill="1" applyBorder="1" applyAlignment="1" applyProtection="1">
      <alignment vertical="center"/>
      <protection locked="0"/>
    </xf>
    <xf numFmtId="49" fontId="1" fillId="6" borderId="4" xfId="0" applyFont="1" applyFill="1" applyBorder="1" applyProtection="1">
      <protection locked="0"/>
    </xf>
    <xf numFmtId="49" fontId="14" fillId="0" borderId="0" xfId="0" applyFont="1" applyProtection="1">
      <protection locked="0"/>
    </xf>
    <xf numFmtId="49" fontId="14" fillId="6" borderId="0" xfId="0" applyFont="1" applyFill="1" applyProtection="1">
      <protection locked="0"/>
    </xf>
    <xf numFmtId="49" fontId="14" fillId="2" borderId="0" xfId="0" applyFont="1" applyFill="1" applyProtection="1">
      <protection locked="0"/>
    </xf>
    <xf numFmtId="49" fontId="22" fillId="6" borderId="2" xfId="0" applyFont="1" applyFill="1" applyBorder="1" applyAlignment="1" applyProtection="1">
      <alignment horizontal="center" vertical="center"/>
      <protection locked="0"/>
    </xf>
    <xf numFmtId="49" fontId="22" fillId="6" borderId="4" xfId="0" applyFont="1" applyFill="1" applyBorder="1" applyAlignment="1" applyProtection="1">
      <alignment horizontal="center" vertical="center"/>
      <protection locked="0"/>
    </xf>
    <xf numFmtId="49" fontId="14" fillId="6" borderId="0" xfId="0" applyFont="1" applyFill="1" applyAlignment="1" applyProtection="1">
      <alignment horizontal="left" vertical="center"/>
      <protection locked="0"/>
    </xf>
    <xf numFmtId="49" fontId="14" fillId="6" borderId="0" xfId="0" applyFont="1" applyFill="1" applyAlignment="1" applyProtection="1">
      <alignment horizontal="center" vertical="center"/>
      <protection locked="0"/>
    </xf>
    <xf numFmtId="49" fontId="14" fillId="6" borderId="0" xfId="0" applyFont="1" applyFill="1" applyAlignment="1" applyProtection="1">
      <alignment horizontal="left"/>
      <protection locked="0"/>
    </xf>
    <xf numFmtId="49" fontId="17" fillId="6" borderId="0" xfId="0" applyFont="1" applyFill="1" applyAlignment="1" applyProtection="1">
      <alignment vertical="center"/>
      <protection locked="0"/>
    </xf>
    <xf numFmtId="49" fontId="1" fillId="6" borderId="1" xfId="0" applyFont="1" applyFill="1" applyBorder="1" applyAlignment="1" applyProtection="1">
      <alignment horizontal="center" vertical="center"/>
      <protection locked="0"/>
    </xf>
    <xf numFmtId="49" fontId="1" fillId="6" borderId="0" xfId="0" applyFont="1" applyFill="1" applyAlignment="1" applyProtection="1">
      <alignment vertical="top" wrapText="1"/>
      <protection locked="0"/>
    </xf>
    <xf numFmtId="49" fontId="1" fillId="6" borderId="0" xfId="0" applyFont="1" applyFill="1" applyAlignment="1" applyProtection="1">
      <alignment horizontal="right" vertical="top" wrapText="1"/>
      <protection locked="0"/>
    </xf>
    <xf numFmtId="49" fontId="4" fillId="6" borderId="0" xfId="0" applyFont="1" applyFill="1" applyAlignment="1" applyProtection="1">
      <alignment vertical="center" wrapText="1"/>
      <protection locked="0"/>
    </xf>
    <xf numFmtId="49" fontId="1" fillId="6" borderId="4" xfId="0" applyFont="1" applyFill="1" applyBorder="1" applyAlignment="1" applyProtection="1">
      <alignment vertical="top" wrapText="1"/>
      <protection locked="0"/>
    </xf>
    <xf numFmtId="49" fontId="1" fillId="0" borderId="11" xfId="0" applyFont="1" applyBorder="1" applyProtection="1">
      <protection locked="0"/>
    </xf>
    <xf numFmtId="49" fontId="1" fillId="0" borderId="12" xfId="0" applyFont="1" applyBorder="1" applyProtection="1">
      <protection locked="0"/>
    </xf>
    <xf numFmtId="49" fontId="5" fillId="0" borderId="8" xfId="0" applyFont="1" applyBorder="1" applyAlignment="1" applyProtection="1">
      <alignment horizontal="center"/>
      <protection locked="0"/>
    </xf>
    <xf numFmtId="49" fontId="5" fillId="0" borderId="9" xfId="0" applyFont="1" applyBorder="1" applyAlignment="1" applyProtection="1">
      <alignment horizontal="center"/>
      <protection locked="0"/>
    </xf>
    <xf numFmtId="49" fontId="5" fillId="0" borderId="8" xfId="0" applyFont="1" applyBorder="1" applyAlignment="1" applyProtection="1">
      <alignment horizontal="centerContinuous" vertical="top"/>
      <protection locked="0"/>
    </xf>
    <xf numFmtId="49" fontId="6" fillId="7" borderId="0" xfId="0" applyFont="1" applyFill="1" applyProtection="1">
      <protection locked="0"/>
    </xf>
    <xf numFmtId="49" fontId="6" fillId="7" borderId="0" xfId="0" applyFont="1" applyFill="1" applyAlignment="1" applyProtection="1">
      <alignment horizontal="center" vertical="center"/>
      <protection locked="0"/>
    </xf>
    <xf numFmtId="49" fontId="6" fillId="7" borderId="0" xfId="0" applyFont="1" applyFill="1" applyAlignment="1" applyProtection="1">
      <alignment vertical="center"/>
      <protection locked="0"/>
    </xf>
    <xf numFmtId="49" fontId="6" fillId="7" borderId="0" xfId="0" applyFont="1" applyFill="1" applyAlignment="1" applyProtection="1">
      <alignment vertical="top"/>
      <protection locked="0"/>
    </xf>
    <xf numFmtId="49" fontId="5" fillId="6" borderId="0" xfId="0" applyFont="1" applyFill="1" applyAlignment="1" applyProtection="1">
      <alignment horizontal="left" vertical="center"/>
      <protection locked="0"/>
    </xf>
    <xf numFmtId="49" fontId="14" fillId="6" borderId="0" xfId="0" applyFont="1" applyFill="1" applyAlignment="1" applyProtection="1">
      <alignment horizontal="center"/>
      <protection locked="0"/>
    </xf>
    <xf numFmtId="49" fontId="5" fillId="6" borderId="4" xfId="0" applyFont="1" applyFill="1" applyBorder="1" applyAlignment="1" applyProtection="1">
      <alignment horizontal="center"/>
      <protection locked="0"/>
    </xf>
    <xf numFmtId="49" fontId="1" fillId="6" borderId="14" xfId="0" applyFont="1" applyFill="1" applyBorder="1" applyProtection="1">
      <protection locked="0"/>
    </xf>
    <xf numFmtId="49" fontId="1" fillId="6" borderId="15" xfId="0" applyFont="1" applyFill="1" applyBorder="1" applyProtection="1">
      <protection locked="0"/>
    </xf>
    <xf numFmtId="1" fontId="1" fillId="6" borderId="1" xfId="0" applyNumberFormat="1" applyFont="1" applyFill="1" applyBorder="1" applyAlignment="1" applyProtection="1">
      <alignment horizontal="center" vertical="center"/>
      <protection locked="0"/>
    </xf>
    <xf numFmtId="49" fontId="18" fillId="6" borderId="4" xfId="0" applyFont="1" applyFill="1" applyBorder="1" applyAlignment="1" applyProtection="1">
      <alignment horizontal="center" vertical="center"/>
      <protection locked="0"/>
    </xf>
    <xf numFmtId="49" fontId="1" fillId="6" borderId="4" xfId="0" applyFont="1" applyFill="1" applyBorder="1" applyAlignment="1" applyProtection="1">
      <alignment vertical="center"/>
      <protection locked="0"/>
    </xf>
    <xf numFmtId="0" fontId="4" fillId="0" borderId="0" xfId="0" applyNumberFormat="1" applyFont="1" applyAlignment="1" applyProtection="1">
      <alignment horizontal="center"/>
      <protection locked="0"/>
    </xf>
    <xf numFmtId="14" fontId="1" fillId="6" borderId="0" xfId="0" applyNumberFormat="1" applyFont="1" applyFill="1" applyAlignment="1" applyProtection="1">
      <alignment vertical="center"/>
      <protection locked="0"/>
    </xf>
    <xf numFmtId="49" fontId="1" fillId="6" borderId="0" xfId="0" applyFont="1" applyFill="1" applyAlignment="1" applyProtection="1">
      <alignment horizontal="center"/>
      <protection locked="0"/>
    </xf>
    <xf numFmtId="0" fontId="1" fillId="6" borderId="0" xfId="0" applyNumberFormat="1" applyFont="1" applyFill="1" applyAlignment="1" applyProtection="1">
      <alignment horizontal="center" vertical="center"/>
      <protection locked="0"/>
    </xf>
    <xf numFmtId="20" fontId="1" fillId="6" borderId="14" xfId="0" applyNumberFormat="1" applyFont="1" applyFill="1" applyBorder="1" applyAlignment="1" applyProtection="1">
      <alignment horizontal="center"/>
      <protection locked="0"/>
    </xf>
    <xf numFmtId="20" fontId="1" fillId="0" borderId="0" xfId="0" applyNumberFormat="1" applyFont="1" applyProtection="1">
      <protection locked="0"/>
    </xf>
    <xf numFmtId="20" fontId="1" fillId="6" borderId="16" xfId="0" applyNumberFormat="1" applyFont="1" applyFill="1" applyBorder="1" applyAlignment="1" applyProtection="1">
      <alignment horizontal="center"/>
      <protection locked="0"/>
    </xf>
    <xf numFmtId="49" fontId="5" fillId="6" borderId="17" xfId="0" applyFont="1" applyFill="1" applyBorder="1" applyAlignment="1" applyProtection="1">
      <alignment horizontal="center"/>
      <protection locked="0"/>
    </xf>
    <xf numFmtId="49" fontId="5" fillId="6" borderId="18" xfId="0" applyFont="1" applyFill="1" applyBorder="1" applyAlignment="1" applyProtection="1">
      <alignment horizontal="center"/>
      <protection locked="0"/>
    </xf>
    <xf numFmtId="20" fontId="13" fillId="6" borderId="1" xfId="0" applyNumberFormat="1" applyFont="1" applyFill="1" applyBorder="1" applyAlignment="1" applyProtection="1">
      <alignment horizontal="center"/>
      <protection locked="0"/>
    </xf>
    <xf numFmtId="20" fontId="13" fillId="6" borderId="19" xfId="0" applyNumberFormat="1" applyFont="1" applyFill="1" applyBorder="1" applyAlignment="1" applyProtection="1">
      <alignment horizontal="center"/>
      <protection locked="0"/>
    </xf>
    <xf numFmtId="20" fontId="13" fillId="6" borderId="20" xfId="0" applyNumberFormat="1" applyFont="1" applyFill="1" applyBorder="1" applyAlignment="1" applyProtection="1">
      <alignment horizontal="center"/>
      <protection locked="0"/>
    </xf>
    <xf numFmtId="49" fontId="5" fillId="6" borderId="21" xfId="0" applyFont="1" applyFill="1" applyBorder="1" applyAlignment="1" applyProtection="1">
      <alignment horizontal="center" wrapText="1"/>
      <protection locked="0"/>
    </xf>
    <xf numFmtId="20" fontId="1" fillId="6" borderId="22" xfId="0" applyNumberFormat="1" applyFont="1" applyFill="1" applyBorder="1" applyAlignment="1" applyProtection="1">
      <alignment horizontal="center"/>
      <protection locked="0"/>
    </xf>
    <xf numFmtId="49" fontId="5" fillId="6" borderId="23" xfId="0" applyFont="1" applyFill="1" applyBorder="1" applyAlignment="1" applyProtection="1">
      <alignment horizontal="center" wrapText="1"/>
      <protection locked="0"/>
    </xf>
    <xf numFmtId="49" fontId="5" fillId="6" borderId="24" xfId="0" applyFont="1" applyFill="1" applyBorder="1" applyAlignment="1" applyProtection="1">
      <alignment horizontal="center" vertical="center"/>
      <protection locked="0"/>
    </xf>
    <xf numFmtId="20" fontId="13" fillId="6" borderId="7" xfId="0" applyNumberFormat="1" applyFont="1" applyFill="1" applyBorder="1" applyAlignment="1" applyProtection="1">
      <alignment horizontal="center"/>
      <protection locked="0"/>
    </xf>
    <xf numFmtId="49" fontId="1" fillId="6" borderId="0" xfId="0" applyFont="1" applyFill="1" applyAlignment="1" applyProtection="1">
      <alignment horizontal="left" vertical="center"/>
      <protection locked="0"/>
    </xf>
    <xf numFmtId="49" fontId="5" fillId="6" borderId="24" xfId="0" applyFont="1" applyFill="1" applyBorder="1" applyAlignment="1" applyProtection="1">
      <alignment horizontal="center" wrapText="1"/>
      <protection locked="0"/>
    </xf>
    <xf numFmtId="49" fontId="6" fillId="7" borderId="9" xfId="0" applyFont="1" applyFill="1" applyBorder="1" applyAlignment="1" applyProtection="1">
      <alignment horizontal="center" vertical="center"/>
      <protection locked="0"/>
    </xf>
    <xf numFmtId="49" fontId="1" fillId="6" borderId="0" xfId="0" applyFont="1" applyFill="1" applyAlignment="1" applyProtection="1">
      <alignment horizontal="center" vertical="center"/>
      <protection locked="0"/>
    </xf>
    <xf numFmtId="49" fontId="1" fillId="6" borderId="4" xfId="0" applyFont="1" applyFill="1" applyBorder="1" applyAlignment="1" applyProtection="1">
      <alignment horizontal="center" vertical="center"/>
      <protection locked="0"/>
    </xf>
    <xf numFmtId="49" fontId="1" fillId="6" borderId="2" xfId="0" applyFont="1" applyFill="1" applyBorder="1" applyAlignment="1" applyProtection="1">
      <alignment horizontal="center" vertical="center"/>
      <protection locked="0"/>
    </xf>
    <xf numFmtId="20" fontId="1" fillId="6" borderId="19" xfId="0" applyNumberFormat="1" applyFont="1" applyFill="1" applyBorder="1" applyAlignment="1" applyProtection="1">
      <alignment horizontal="center"/>
      <protection locked="0"/>
    </xf>
    <xf numFmtId="49" fontId="5" fillId="6" borderId="8" xfId="0" applyFont="1" applyFill="1" applyBorder="1" applyAlignment="1" applyProtection="1">
      <alignment horizontal="center" vertical="center"/>
      <protection locked="0"/>
    </xf>
    <xf numFmtId="49" fontId="5" fillId="6" borderId="0" xfId="0" applyFont="1" applyFill="1" applyAlignment="1" applyProtection="1">
      <alignment horizontal="center"/>
      <protection locked="0"/>
    </xf>
    <xf numFmtId="20" fontId="1" fillId="6" borderId="20" xfId="0" applyNumberFormat="1" applyFont="1" applyFill="1" applyBorder="1" applyAlignment="1" applyProtection="1">
      <alignment horizontal="center"/>
      <protection locked="0"/>
    </xf>
    <xf numFmtId="20" fontId="1" fillId="6" borderId="1" xfId="0" applyNumberFormat="1" applyFont="1" applyFill="1" applyBorder="1" applyAlignment="1" applyProtection="1">
      <alignment horizontal="center"/>
      <protection locked="0"/>
    </xf>
    <xf numFmtId="20" fontId="1" fillId="6" borderId="7" xfId="0" applyNumberFormat="1" applyFont="1" applyFill="1" applyBorder="1" applyAlignment="1" applyProtection="1">
      <alignment horizontal="center"/>
      <protection locked="0"/>
    </xf>
    <xf numFmtId="49" fontId="5" fillId="6" borderId="0" xfId="0" applyFont="1" applyFill="1" applyAlignment="1" applyProtection="1">
      <alignment horizontal="center" vertical="center" wrapText="1"/>
      <protection locked="0"/>
    </xf>
    <xf numFmtId="49" fontId="1" fillId="6" borderId="0" xfId="0" applyFont="1" applyFill="1" applyAlignment="1" applyProtection="1">
      <alignment horizontal="center" wrapText="1"/>
      <protection locked="0"/>
    </xf>
    <xf numFmtId="49" fontId="5" fillId="6" borderId="0" xfId="0" applyFont="1" applyFill="1" applyAlignment="1" applyProtection="1">
      <alignment horizontal="right" vertical="center"/>
      <protection locked="0"/>
    </xf>
    <xf numFmtId="49" fontId="5" fillId="6" borderId="0" xfId="0" applyFont="1" applyFill="1" applyAlignment="1" applyProtection="1">
      <alignment horizontal="center" vertical="center"/>
      <protection locked="0"/>
    </xf>
    <xf numFmtId="49" fontId="5" fillId="6" borderId="1" xfId="0" applyFont="1" applyFill="1" applyBorder="1" applyAlignment="1" applyProtection="1">
      <alignment horizontal="center" vertical="center"/>
      <protection locked="0"/>
    </xf>
    <xf numFmtId="49" fontId="1" fillId="6" borderId="4" xfId="0" applyFont="1" applyFill="1" applyBorder="1" applyAlignment="1" applyProtection="1">
      <alignment horizontal="left" vertical="center"/>
      <protection locked="0"/>
    </xf>
    <xf numFmtId="49" fontId="5" fillId="6" borderId="17" xfId="0" applyFont="1" applyFill="1" applyBorder="1" applyAlignment="1" applyProtection="1">
      <alignment horizontal="center" wrapText="1"/>
      <protection locked="0"/>
    </xf>
    <xf numFmtId="49" fontId="5" fillId="6" borderId="24" xfId="0" applyFont="1" applyFill="1" applyBorder="1" applyAlignment="1" applyProtection="1">
      <alignment horizontal="center"/>
      <protection locked="0"/>
    </xf>
    <xf numFmtId="49" fontId="19" fillId="6" borderId="0" xfId="0" applyFont="1" applyFill="1" applyAlignment="1" applyProtection="1">
      <alignment horizontal="center" vertical="center"/>
      <protection locked="0"/>
    </xf>
    <xf numFmtId="49" fontId="14" fillId="0" borderId="11" xfId="0" applyFont="1" applyBorder="1" applyProtection="1">
      <protection locked="0"/>
    </xf>
    <xf numFmtId="49" fontId="14" fillId="6" borderId="3" xfId="0" applyFont="1" applyFill="1" applyBorder="1" applyProtection="1">
      <protection locked="0"/>
    </xf>
    <xf numFmtId="49" fontId="14" fillId="2" borderId="3" xfId="0" applyFont="1" applyFill="1" applyBorder="1" applyProtection="1">
      <protection locked="0"/>
    </xf>
    <xf numFmtId="49" fontId="14" fillId="6" borderId="3" xfId="0" applyFont="1" applyFill="1" applyBorder="1" applyAlignment="1" applyProtection="1">
      <alignment horizontal="center"/>
      <protection locked="0"/>
    </xf>
    <xf numFmtId="49" fontId="14" fillId="6" borderId="12" xfId="0" applyFont="1" applyFill="1" applyBorder="1" applyAlignment="1" applyProtection="1">
      <alignment horizontal="center"/>
      <protection locked="0"/>
    </xf>
    <xf numFmtId="49" fontId="19" fillId="6" borderId="4" xfId="0" applyFont="1" applyFill="1" applyBorder="1" applyAlignment="1" applyProtection="1">
      <alignment horizontal="center" vertical="center"/>
      <protection locked="0"/>
    </xf>
    <xf numFmtId="14" fontId="5" fillId="2" borderId="3" xfId="0" applyNumberFormat="1" applyFont="1" applyFill="1" applyBorder="1" applyProtection="1">
      <protection locked="0"/>
    </xf>
    <xf numFmtId="14" fontId="5" fillId="2" borderId="12" xfId="0" applyNumberFormat="1" applyFont="1" applyFill="1" applyBorder="1" applyProtection="1">
      <protection locked="0"/>
    </xf>
    <xf numFmtId="49" fontId="5" fillId="6" borderId="3" xfId="0" applyFont="1" applyFill="1" applyBorder="1" applyAlignment="1" applyProtection="1">
      <alignment horizontal="left" vertical="center"/>
      <protection locked="0"/>
    </xf>
    <xf numFmtId="49" fontId="3" fillId="6" borderId="3" xfId="0" applyFont="1" applyFill="1" applyBorder="1" applyAlignment="1" applyProtection="1">
      <alignment horizontal="center" vertical="center"/>
      <protection locked="0"/>
    </xf>
    <xf numFmtId="49" fontId="3" fillId="6" borderId="12" xfId="0" applyFont="1" applyFill="1" applyBorder="1" applyAlignment="1" applyProtection="1">
      <alignment horizontal="center" vertical="center"/>
      <protection locked="0"/>
    </xf>
    <xf numFmtId="0" fontId="4" fillId="0" borderId="4" xfId="0" applyNumberFormat="1" applyFont="1" applyBorder="1" applyAlignment="1" applyProtection="1">
      <alignment horizontal="center"/>
      <protection locked="0"/>
    </xf>
    <xf numFmtId="49" fontId="1" fillId="0" borderId="5" xfId="0" applyFont="1" applyBorder="1" applyProtection="1">
      <protection locked="0"/>
    </xf>
    <xf numFmtId="49" fontId="3" fillId="6" borderId="6" xfId="0" applyFont="1" applyFill="1" applyBorder="1" applyAlignment="1" applyProtection="1">
      <alignment horizontal="center" vertical="center"/>
      <protection locked="0"/>
    </xf>
    <xf numFmtId="49" fontId="18" fillId="6" borderId="0" xfId="0" applyFont="1" applyFill="1" applyAlignment="1" applyProtection="1">
      <alignment horizontal="center" vertical="center"/>
      <protection locked="0"/>
    </xf>
    <xf numFmtId="49" fontId="1" fillId="6" borderId="14" xfId="0" applyFont="1" applyFill="1" applyBorder="1" applyAlignment="1" applyProtection="1">
      <alignment vertical="center"/>
      <protection locked="0"/>
    </xf>
    <xf numFmtId="49" fontId="1" fillId="6" borderId="9" xfId="0" applyFont="1" applyFill="1" applyBorder="1" applyAlignment="1" applyProtection="1">
      <alignment vertical="center"/>
      <protection locked="0"/>
    </xf>
    <xf numFmtId="49" fontId="5" fillId="6" borderId="15" xfId="0" applyFont="1" applyFill="1" applyBorder="1" applyProtection="1">
      <protection locked="0"/>
    </xf>
    <xf numFmtId="49" fontId="1" fillId="6" borderId="9" xfId="0" applyFont="1" applyFill="1" applyBorder="1" applyProtection="1">
      <protection locked="0"/>
    </xf>
    <xf numFmtId="49" fontId="17" fillId="6" borderId="0" xfId="0" applyFont="1" applyFill="1" applyAlignment="1" applyProtection="1">
      <alignment horizontal="left" vertical="center"/>
      <protection locked="0"/>
    </xf>
    <xf numFmtId="49" fontId="1" fillId="6" borderId="0" xfId="0" applyFont="1" applyFill="1" applyAlignment="1">
      <alignment horizontal="left" vertical="center"/>
    </xf>
    <xf numFmtId="20" fontId="1" fillId="0" borderId="25" xfId="0" applyNumberFormat="1" applyFont="1" applyBorder="1"/>
    <xf numFmtId="20" fontId="1" fillId="0" borderId="26" xfId="0" applyNumberFormat="1" applyFont="1" applyBorder="1"/>
    <xf numFmtId="20" fontId="1" fillId="0" borderId="27" xfId="0" applyNumberFormat="1" applyFont="1" applyBorder="1"/>
    <xf numFmtId="20" fontId="1" fillId="0" borderId="28" xfId="0" applyNumberFormat="1" applyFont="1" applyBorder="1"/>
    <xf numFmtId="20" fontId="1" fillId="0" borderId="29" xfId="0" applyNumberFormat="1" applyFont="1" applyBorder="1"/>
    <xf numFmtId="20" fontId="1" fillId="0" borderId="30" xfId="0" applyNumberFormat="1" applyFont="1" applyBorder="1"/>
    <xf numFmtId="49" fontId="1" fillId="6" borderId="0" xfId="0" applyFont="1" applyFill="1" applyAlignment="1" applyProtection="1">
      <alignment vertical="center" wrapText="1"/>
      <protection locked="0"/>
    </xf>
    <xf numFmtId="49" fontId="20" fillId="2" borderId="0" xfId="0" applyFont="1" applyFill="1" applyAlignment="1" applyProtection="1">
      <alignment horizontal="center"/>
      <protection locked="0"/>
    </xf>
    <xf numFmtId="49" fontId="1" fillId="0" borderId="1" xfId="0" applyFont="1" applyBorder="1" applyProtection="1">
      <protection locked="0"/>
    </xf>
    <xf numFmtId="49" fontId="13" fillId="6" borderId="1" xfId="0" applyFont="1" applyFill="1" applyBorder="1" applyProtection="1">
      <protection locked="0"/>
    </xf>
    <xf numFmtId="49" fontId="13" fillId="6" borderId="0" xfId="0" applyFont="1" applyFill="1" applyProtection="1">
      <protection locked="0"/>
    </xf>
    <xf numFmtId="49" fontId="13" fillId="6" borderId="0" xfId="0" applyFont="1" applyFill="1" applyAlignment="1" applyProtection="1">
      <alignment horizontal="center"/>
      <protection locked="0"/>
    </xf>
    <xf numFmtId="49" fontId="13" fillId="6" borderId="1" xfId="0" applyFont="1" applyFill="1" applyBorder="1" applyAlignment="1" applyProtection="1">
      <alignment horizontal="center"/>
      <protection locked="0"/>
    </xf>
    <xf numFmtId="49" fontId="13" fillId="6" borderId="1" xfId="0" applyFont="1" applyFill="1" applyBorder="1" applyAlignment="1" applyProtection="1">
      <alignment horizontal="center" vertical="center"/>
      <protection locked="0"/>
    </xf>
    <xf numFmtId="0" fontId="13" fillId="6" borderId="1" xfId="0" applyNumberFormat="1" applyFont="1" applyFill="1" applyBorder="1" applyAlignment="1" applyProtection="1">
      <alignment horizontal="center" vertical="center"/>
      <protection locked="0"/>
    </xf>
    <xf numFmtId="49" fontId="6" fillId="6" borderId="0" xfId="0" applyFont="1" applyFill="1" applyAlignment="1" applyProtection="1">
      <alignment horizontal="center" vertical="center"/>
      <protection locked="0"/>
    </xf>
    <xf numFmtId="49" fontId="13" fillId="6" borderId="0" xfId="0" applyFont="1" applyFill="1" applyAlignment="1" applyProtection="1">
      <alignment horizontal="center" vertical="center"/>
      <protection locked="0"/>
    </xf>
    <xf numFmtId="49" fontId="13" fillId="0" borderId="0" xfId="0" applyFont="1" applyProtection="1">
      <protection locked="0"/>
    </xf>
    <xf numFmtId="49" fontId="8" fillId="6" borderId="0" xfId="0" applyFont="1" applyFill="1" applyAlignment="1" applyProtection="1">
      <alignment horizontal="left" vertical="top"/>
      <protection locked="0"/>
    </xf>
    <xf numFmtId="49" fontId="4" fillId="6" borderId="0" xfId="0" applyFont="1" applyFill="1" applyAlignment="1" applyProtection="1">
      <alignment vertical="center"/>
      <protection locked="0"/>
    </xf>
    <xf numFmtId="0" fontId="4" fillId="6" borderId="0" xfId="0" applyNumberFormat="1" applyFont="1" applyFill="1" applyProtection="1">
      <protection locked="0"/>
    </xf>
    <xf numFmtId="49" fontId="8" fillId="6" borderId="0" xfId="0" applyFont="1" applyFill="1" applyAlignment="1" applyProtection="1">
      <alignment vertical="center"/>
      <protection locked="0"/>
    </xf>
    <xf numFmtId="49" fontId="4" fillId="6" borderId="0" xfId="0" applyFont="1" applyFill="1" applyAlignment="1" applyProtection="1">
      <alignment horizontal="center"/>
      <protection locked="0"/>
    </xf>
    <xf numFmtId="49" fontId="23" fillId="6" borderId="0" xfId="0" applyFont="1" applyFill="1" applyAlignment="1" applyProtection="1">
      <alignment horizontal="left" vertical="center"/>
      <protection locked="0"/>
    </xf>
    <xf numFmtId="49" fontId="8" fillId="6" borderId="0" xfId="0" applyFont="1" applyFill="1" applyAlignment="1" applyProtection="1">
      <alignment horizontal="left" vertical="center"/>
      <protection locked="0"/>
    </xf>
    <xf numFmtId="49" fontId="8" fillId="6" borderId="0" xfId="0" applyFont="1" applyFill="1" applyAlignment="1" applyProtection="1">
      <alignment horizontal="center"/>
      <protection locked="0"/>
    </xf>
    <xf numFmtId="20" fontId="13" fillId="6" borderId="0" xfId="0" applyNumberFormat="1" applyFont="1" applyFill="1" applyAlignment="1" applyProtection="1">
      <alignment horizontal="center"/>
      <protection locked="0"/>
    </xf>
    <xf numFmtId="49" fontId="6" fillId="6" borderId="0" xfId="0" applyFont="1" applyFill="1" applyAlignment="1" applyProtection="1">
      <alignment horizontal="left" vertical="center"/>
      <protection locked="0"/>
    </xf>
    <xf numFmtId="49" fontId="5" fillId="6" borderId="8" xfId="0" applyFont="1" applyFill="1" applyBorder="1" applyAlignment="1" applyProtection="1">
      <alignment horizontal="center"/>
      <protection locked="0"/>
    </xf>
    <xf numFmtId="49" fontId="1" fillId="0" borderId="8" xfId="0" applyFont="1" applyBorder="1" applyProtection="1">
      <protection locked="0"/>
    </xf>
    <xf numFmtId="49" fontId="4" fillId="0" borderId="0" xfId="0" applyFont="1" applyProtection="1">
      <protection locked="0"/>
    </xf>
    <xf numFmtId="49" fontId="6" fillId="6" borderId="8" xfId="0" applyFont="1" applyFill="1" applyBorder="1" applyAlignment="1" applyProtection="1">
      <alignment horizontal="left" vertical="center"/>
      <protection locked="0"/>
    </xf>
    <xf numFmtId="49" fontId="13" fillId="6" borderId="8" xfId="0" applyFont="1" applyFill="1" applyBorder="1" applyAlignment="1" applyProtection="1">
      <alignment horizontal="center" vertical="center"/>
      <protection locked="0"/>
    </xf>
    <xf numFmtId="49" fontId="18" fillId="6" borderId="8" xfId="0" applyFont="1" applyFill="1" applyBorder="1" applyAlignment="1" applyProtection="1">
      <alignment horizontal="center" vertical="center"/>
      <protection locked="0"/>
    </xf>
    <xf numFmtId="49" fontId="1" fillId="0" borderId="0" xfId="0" applyFont="1" applyAlignment="1" applyProtection="1">
      <alignment horizontal="center" vertical="center"/>
      <protection locked="0"/>
    </xf>
    <xf numFmtId="49" fontId="13" fillId="6" borderId="14" xfId="0" applyFont="1" applyFill="1" applyBorder="1" applyProtection="1">
      <protection locked="0"/>
    </xf>
    <xf numFmtId="49" fontId="13" fillId="6" borderId="9" xfId="0" applyFont="1" applyFill="1" applyBorder="1" applyProtection="1">
      <protection locked="0"/>
    </xf>
    <xf numFmtId="0" fontId="13" fillId="6" borderId="0" xfId="0" applyNumberFormat="1" applyFont="1" applyFill="1" applyAlignment="1" applyProtection="1">
      <alignment horizontal="center" vertical="center"/>
      <protection locked="0"/>
    </xf>
    <xf numFmtId="49" fontId="20" fillId="2" borderId="0" xfId="0" applyFont="1" applyFill="1" applyProtection="1">
      <protection locked="0"/>
    </xf>
    <xf numFmtId="49" fontId="7" fillId="2" borderId="1" xfId="0" applyFont="1" applyFill="1" applyBorder="1" applyAlignment="1" applyProtection="1">
      <alignment horizontal="left"/>
      <protection locked="0"/>
    </xf>
    <xf numFmtId="49" fontId="20" fillId="2" borderId="1" xfId="0" applyFont="1" applyFill="1" applyBorder="1" applyAlignment="1" applyProtection="1">
      <alignment horizontal="center"/>
      <protection locked="0"/>
    </xf>
    <xf numFmtId="20" fontId="6" fillId="0" borderId="0" xfId="0" applyNumberFormat="1" applyFont="1" applyProtection="1">
      <protection locked="0"/>
    </xf>
    <xf numFmtId="46" fontId="6" fillId="0" borderId="0" xfId="0" applyNumberFormat="1" applyFont="1" applyAlignment="1" applyProtection="1">
      <alignment horizontal="center"/>
      <protection locked="0"/>
    </xf>
    <xf numFmtId="49" fontId="25" fillId="0" borderId="0" xfId="0" applyFont="1" applyAlignment="1" applyProtection="1">
      <alignment horizontal="center" vertical="center"/>
      <protection locked="0"/>
    </xf>
    <xf numFmtId="49" fontId="4" fillId="6" borderId="1" xfId="0" applyFont="1" applyFill="1" applyBorder="1" applyAlignment="1" applyProtection="1">
      <alignment horizontal="left" vertical="center"/>
      <protection locked="0"/>
    </xf>
    <xf numFmtId="14" fontId="4" fillId="2" borderId="8" xfId="0" applyNumberFormat="1" applyFont="1" applyFill="1" applyBorder="1" applyAlignment="1" applyProtection="1">
      <alignment horizontal="center"/>
      <protection locked="0"/>
    </xf>
    <xf numFmtId="49" fontId="14" fillId="0" borderId="4" xfId="0" applyFont="1" applyBorder="1" applyProtection="1">
      <protection locked="0"/>
    </xf>
    <xf numFmtId="49" fontId="5" fillId="6" borderId="8" xfId="0" applyFont="1" applyFill="1" applyBorder="1" applyAlignment="1" applyProtection="1">
      <alignment horizontal="left" vertical="center"/>
      <protection locked="0"/>
    </xf>
    <xf numFmtId="49" fontId="5" fillId="6" borderId="8" xfId="0" applyFont="1" applyFill="1" applyBorder="1" applyAlignment="1" applyProtection="1">
      <alignment horizontal="center" vertical="top" wrapText="1"/>
      <protection locked="0"/>
    </xf>
    <xf numFmtId="49" fontId="9" fillId="6" borderId="0" xfId="0" applyFont="1" applyFill="1" applyAlignment="1" applyProtection="1">
      <alignment horizontal="left" vertical="center"/>
      <protection locked="0"/>
    </xf>
    <xf numFmtId="1" fontId="4" fillId="6" borderId="1" xfId="0" applyNumberFormat="1" applyFont="1" applyFill="1" applyBorder="1" applyAlignment="1" applyProtection="1">
      <alignment horizontal="center" vertical="center"/>
      <protection locked="0"/>
    </xf>
    <xf numFmtId="49" fontId="4" fillId="6" borderId="1" xfId="0" applyFont="1" applyFill="1" applyBorder="1" applyAlignment="1" applyProtection="1">
      <alignment horizontal="center" vertical="center"/>
      <protection locked="0"/>
    </xf>
    <xf numFmtId="49" fontId="4" fillId="6" borderId="0" xfId="0" applyFont="1" applyFill="1" applyAlignment="1" applyProtection="1">
      <alignment horizontal="left" vertical="top" wrapText="1"/>
      <protection locked="0"/>
    </xf>
    <xf numFmtId="49" fontId="4" fillId="0" borderId="0" xfId="0" applyFont="1" applyAlignment="1" applyProtection="1">
      <alignment vertical="center"/>
      <protection locked="0"/>
    </xf>
    <xf numFmtId="49" fontId="4" fillId="6" borderId="8" xfId="0" applyFont="1" applyFill="1" applyBorder="1" applyProtection="1">
      <protection locked="0"/>
    </xf>
    <xf numFmtId="49" fontId="13" fillId="6" borderId="0" xfId="0" applyFont="1" applyFill="1" applyAlignment="1" applyProtection="1">
      <alignment vertical="center"/>
      <protection locked="0"/>
    </xf>
    <xf numFmtId="49" fontId="24" fillId="2" borderId="0" xfId="0" applyFont="1" applyFill="1" applyAlignment="1" applyProtection="1">
      <alignment vertical="top"/>
      <protection locked="0"/>
    </xf>
    <xf numFmtId="49" fontId="24" fillId="2" borderId="0" xfId="0" applyFont="1" applyFill="1" applyAlignment="1" applyProtection="1">
      <alignment vertical="center"/>
      <protection locked="0"/>
    </xf>
    <xf numFmtId="49" fontId="13" fillId="6" borderId="0" xfId="0" applyFont="1" applyFill="1" applyAlignment="1" applyProtection="1">
      <alignment horizontal="right" vertical="top" wrapText="1"/>
      <protection locked="0"/>
    </xf>
    <xf numFmtId="49" fontId="13" fillId="6" borderId="2" xfId="0" applyFont="1" applyFill="1" applyBorder="1" applyAlignment="1" applyProtection="1">
      <alignment vertical="center"/>
      <protection locked="0"/>
    </xf>
    <xf numFmtId="49" fontId="13" fillId="6" borderId="0" xfId="0" applyFont="1" applyFill="1" applyAlignment="1" applyProtection="1">
      <alignment vertical="center" wrapText="1"/>
      <protection locked="0"/>
    </xf>
    <xf numFmtId="49" fontId="24" fillId="6" borderId="3" xfId="0" applyFont="1" applyFill="1" applyBorder="1" applyAlignment="1" applyProtection="1">
      <alignment horizontal="center" vertical="center"/>
      <protection locked="0"/>
    </xf>
    <xf numFmtId="49" fontId="8" fillId="6" borderId="3" xfId="0" applyFont="1" applyFill="1" applyBorder="1" applyAlignment="1" applyProtection="1">
      <alignment horizontal="left" vertical="center"/>
      <protection locked="0"/>
    </xf>
    <xf numFmtId="49" fontId="8" fillId="8" borderId="3" xfId="0" applyFont="1" applyFill="1" applyBorder="1" applyAlignment="1" applyProtection="1">
      <alignment horizontal="left" vertical="center"/>
      <protection locked="0"/>
    </xf>
    <xf numFmtId="49" fontId="18" fillId="6" borderId="3" xfId="0" applyFont="1" applyFill="1" applyBorder="1" applyAlignment="1" applyProtection="1">
      <alignment horizontal="center" vertical="center"/>
      <protection locked="0"/>
    </xf>
    <xf numFmtId="49" fontId="21" fillId="6" borderId="0" xfId="0" applyFont="1" applyFill="1" applyAlignment="1" applyProtection="1">
      <alignment horizontal="center" vertical="center"/>
      <protection locked="0"/>
    </xf>
    <xf numFmtId="49" fontId="22" fillId="6" borderId="0" xfId="0" applyFont="1" applyFill="1" applyAlignment="1" applyProtection="1">
      <alignment horizontal="center" vertical="center"/>
      <protection locked="0"/>
    </xf>
    <xf numFmtId="49" fontId="24" fillId="6" borderId="12" xfId="0" applyFont="1" applyFill="1" applyBorder="1" applyAlignment="1" applyProtection="1">
      <alignment horizontal="center" vertical="center"/>
      <protection locked="0"/>
    </xf>
    <xf numFmtId="49" fontId="8" fillId="6" borderId="8" xfId="0" applyFont="1" applyFill="1" applyBorder="1" applyAlignment="1" applyProtection="1">
      <alignment horizontal="right" vertical="center"/>
      <protection locked="0"/>
    </xf>
    <xf numFmtId="49" fontId="8" fillId="6" borderId="8" xfId="0" applyFont="1" applyFill="1" applyBorder="1" applyAlignment="1" applyProtection="1">
      <alignment horizontal="left" vertical="center"/>
      <protection locked="0"/>
    </xf>
    <xf numFmtId="49" fontId="1" fillId="8" borderId="0" xfId="0" applyFont="1" applyFill="1" applyAlignment="1" applyProtection="1">
      <alignment horizontal="center" vertical="center"/>
      <protection locked="0"/>
    </xf>
    <xf numFmtId="49" fontId="15" fillId="0" borderId="0" xfId="0" applyFont="1" applyAlignment="1" applyProtection="1">
      <alignment vertical="center"/>
      <protection locked="0"/>
    </xf>
    <xf numFmtId="49" fontId="16" fillId="0" borderId="0" xfId="0" applyFont="1" applyAlignment="1" applyProtection="1">
      <alignment vertical="center"/>
      <protection locked="0"/>
    </xf>
    <xf numFmtId="49" fontId="10" fillId="0" borderId="0" xfId="0" applyFont="1" applyAlignment="1" applyProtection="1">
      <alignment vertical="center"/>
      <protection locked="0"/>
    </xf>
    <xf numFmtId="49" fontId="11" fillId="0" borderId="0" xfId="0" applyFont="1" applyAlignment="1" applyProtection="1">
      <alignment vertical="center"/>
      <protection locked="0"/>
    </xf>
    <xf numFmtId="49" fontId="7" fillId="0" borderId="0" xfId="0" applyFont="1" applyAlignment="1" applyProtection="1">
      <alignment horizontal="centerContinuous" vertical="center"/>
      <protection locked="0"/>
    </xf>
    <xf numFmtId="49" fontId="7" fillId="0" borderId="10" xfId="0" applyFont="1" applyBorder="1" applyAlignment="1" applyProtection="1">
      <alignment horizontal="centerContinuous" vertical="center"/>
      <protection locked="0"/>
    </xf>
    <xf numFmtId="49" fontId="7" fillId="0" borderId="11" xfId="0" applyFont="1" applyBorder="1" applyAlignment="1" applyProtection="1">
      <alignment horizontal="centerContinuous" vertical="center"/>
      <protection locked="0"/>
    </xf>
    <xf numFmtId="49" fontId="7" fillId="0" borderId="3" xfId="0" applyFont="1" applyBorder="1" applyAlignment="1" applyProtection="1">
      <alignment horizontal="centerContinuous" vertical="center"/>
      <protection locked="0"/>
    </xf>
    <xf numFmtId="49" fontId="7" fillId="0" borderId="12" xfId="0" applyFont="1" applyBorder="1" applyAlignment="1" applyProtection="1">
      <alignment horizontal="centerContinuous" vertical="center"/>
      <protection locked="0"/>
    </xf>
    <xf numFmtId="49" fontId="1" fillId="0" borderId="2" xfId="0" applyFont="1" applyBorder="1" applyAlignment="1" applyProtection="1">
      <alignment vertical="center"/>
      <protection locked="0"/>
    </xf>
    <xf numFmtId="49" fontId="1" fillId="8" borderId="0" xfId="0" applyFont="1" applyFill="1" applyAlignment="1" applyProtection="1">
      <alignment vertical="center"/>
      <protection locked="0"/>
    </xf>
    <xf numFmtId="49" fontId="7" fillId="8" borderId="0" xfId="0" applyFont="1" applyFill="1" applyAlignment="1" applyProtection="1">
      <alignment horizontal="centerContinuous" vertical="center"/>
      <protection locked="0"/>
    </xf>
    <xf numFmtId="49" fontId="7" fillId="8" borderId="0" xfId="0" applyFont="1" applyFill="1" applyAlignment="1" applyProtection="1">
      <alignment horizontal="left" vertical="center"/>
      <protection locked="0"/>
    </xf>
    <xf numFmtId="49" fontId="7" fillId="2" borderId="8" xfId="0" applyFont="1" applyFill="1" applyBorder="1" applyAlignment="1" applyProtection="1">
      <alignment vertical="center"/>
      <protection locked="0"/>
    </xf>
    <xf numFmtId="49" fontId="7" fillId="2" borderId="8" xfId="0" applyFont="1" applyFill="1" applyBorder="1" applyAlignment="1" applyProtection="1">
      <alignment horizontal="centerContinuous" vertical="center"/>
      <protection locked="0"/>
    </xf>
    <xf numFmtId="49" fontId="1" fillId="2" borderId="8" xfId="0" applyFont="1" applyFill="1" applyBorder="1" applyAlignment="1" applyProtection="1">
      <alignment vertical="center"/>
      <protection locked="0"/>
    </xf>
    <xf numFmtId="49" fontId="7" fillId="2" borderId="8" xfId="0" applyFont="1" applyFill="1" applyBorder="1" applyAlignment="1" applyProtection="1">
      <alignment horizontal="left" vertical="center"/>
      <protection locked="0"/>
    </xf>
    <xf numFmtId="49" fontId="13" fillId="2" borderId="8" xfId="0" applyFont="1" applyFill="1" applyBorder="1" applyAlignment="1" applyProtection="1">
      <alignment horizontal="left" vertical="center"/>
      <protection locked="0"/>
    </xf>
    <xf numFmtId="49" fontId="7" fillId="2" borderId="0" xfId="0" applyFont="1" applyFill="1" applyAlignment="1" applyProtection="1">
      <alignment vertical="center"/>
      <protection locked="0"/>
    </xf>
    <xf numFmtId="49" fontId="7" fillId="2" borderId="0" xfId="0" applyFont="1" applyFill="1" applyAlignment="1" applyProtection="1">
      <alignment horizontal="centerContinuous" vertical="center"/>
      <protection locked="0"/>
    </xf>
    <xf numFmtId="49" fontId="7" fillId="2" borderId="0" xfId="0" applyFont="1" applyFill="1" applyAlignment="1" applyProtection="1">
      <alignment horizontal="left" vertical="center"/>
      <protection locked="0"/>
    </xf>
    <xf numFmtId="49" fontId="7" fillId="2" borderId="3" xfId="0" applyFont="1" applyFill="1" applyBorder="1" applyAlignment="1" applyProtection="1">
      <alignment vertical="center"/>
      <protection locked="0"/>
    </xf>
    <xf numFmtId="49" fontId="7" fillId="2" borderId="3" xfId="0" applyFont="1" applyFill="1" applyBorder="1" applyAlignment="1" applyProtection="1">
      <alignment horizontal="centerContinuous" vertical="center"/>
      <protection locked="0"/>
    </xf>
    <xf numFmtId="49" fontId="1" fillId="2" borderId="3" xfId="0" applyFont="1" applyFill="1" applyBorder="1" applyAlignment="1" applyProtection="1">
      <alignment vertical="center"/>
      <protection locked="0"/>
    </xf>
    <xf numFmtId="49" fontId="7" fillId="2" borderId="3" xfId="0" applyFont="1" applyFill="1" applyBorder="1" applyAlignment="1" applyProtection="1">
      <alignment horizontal="left" vertical="center"/>
      <protection locked="0"/>
    </xf>
    <xf numFmtId="49" fontId="13" fillId="2" borderId="3" xfId="0" applyFont="1" applyFill="1" applyBorder="1" applyAlignment="1" applyProtection="1">
      <alignment horizontal="left" vertical="center"/>
      <protection locked="0"/>
    </xf>
    <xf numFmtId="49" fontId="7" fillId="0" borderId="0" xfId="0" applyFont="1" applyAlignment="1" applyProtection="1">
      <alignment vertical="center"/>
      <protection locked="0"/>
    </xf>
    <xf numFmtId="49" fontId="7" fillId="2" borderId="0" xfId="0" applyFont="1" applyFill="1" applyAlignment="1" applyProtection="1">
      <alignment horizontal="center" vertical="center"/>
      <protection locked="0"/>
    </xf>
    <xf numFmtId="0" fontId="13" fillId="6" borderId="0" xfId="0" applyNumberFormat="1" applyFont="1" applyFill="1" applyAlignment="1" applyProtection="1">
      <alignment vertical="center"/>
      <protection locked="0"/>
    </xf>
    <xf numFmtId="0" fontId="4" fillId="6" borderId="0" xfId="0" applyNumberFormat="1" applyFont="1" applyFill="1" applyAlignment="1" applyProtection="1">
      <alignment vertical="center"/>
      <protection locked="0"/>
    </xf>
    <xf numFmtId="0" fontId="1" fillId="6" borderId="0" xfId="0" applyNumberFormat="1" applyFont="1" applyFill="1" applyAlignment="1" applyProtection="1">
      <alignment vertical="center"/>
      <protection locked="0"/>
    </xf>
    <xf numFmtId="0" fontId="13" fillId="6" borderId="1" xfId="0" applyNumberFormat="1" applyFont="1" applyFill="1" applyBorder="1" applyAlignment="1" applyProtection="1">
      <alignment vertical="center"/>
      <protection locked="0"/>
    </xf>
    <xf numFmtId="0" fontId="13" fillId="6" borderId="0" xfId="0" applyNumberFormat="1" applyFont="1" applyFill="1" applyAlignment="1" applyProtection="1">
      <alignment horizontal="left" vertical="center"/>
      <protection locked="0"/>
    </xf>
    <xf numFmtId="0" fontId="1" fillId="6" borderId="8" xfId="0" applyNumberFormat="1" applyFont="1" applyFill="1" applyBorder="1" applyAlignment="1" applyProtection="1">
      <alignment vertical="center"/>
      <protection locked="0"/>
    </xf>
    <xf numFmtId="0" fontId="13" fillId="6" borderId="8" xfId="0" applyNumberFormat="1" applyFont="1" applyFill="1" applyBorder="1" applyAlignment="1" applyProtection="1">
      <alignment vertical="center"/>
      <protection locked="0"/>
    </xf>
    <xf numFmtId="0" fontId="13" fillId="6" borderId="8" xfId="0" applyNumberFormat="1" applyFont="1" applyFill="1" applyBorder="1" applyAlignment="1" applyProtection="1">
      <alignment horizontal="center" vertical="center"/>
      <protection locked="0"/>
    </xf>
    <xf numFmtId="49" fontId="14" fillId="0" borderId="0" xfId="0" applyFont="1" applyAlignment="1" applyProtection="1">
      <alignment vertical="center"/>
      <protection locked="0"/>
    </xf>
    <xf numFmtId="49" fontId="14" fillId="0" borderId="11" xfId="0" applyFont="1" applyBorder="1" applyAlignment="1" applyProtection="1">
      <alignment vertical="center"/>
      <protection locked="0"/>
    </xf>
    <xf numFmtId="49" fontId="14" fillId="0" borderId="3" xfId="0" applyFont="1" applyBorder="1" applyAlignment="1" applyProtection="1">
      <alignment vertical="center"/>
      <protection locked="0"/>
    </xf>
    <xf numFmtId="49" fontId="14" fillId="6" borderId="3" xfId="0" applyFont="1" applyFill="1" applyBorder="1" applyAlignment="1" applyProtection="1">
      <alignment vertical="center"/>
      <protection locked="0"/>
    </xf>
    <xf numFmtId="49" fontId="14" fillId="6" borderId="3" xfId="0" applyFont="1" applyFill="1" applyBorder="1" applyAlignment="1" applyProtection="1">
      <alignment horizontal="center" vertical="center"/>
      <protection locked="0"/>
    </xf>
    <xf numFmtId="49" fontId="14" fillId="6" borderId="12" xfId="0" applyFont="1" applyFill="1" applyBorder="1" applyAlignment="1" applyProtection="1">
      <alignment horizontal="center" vertical="center"/>
      <protection locked="0"/>
    </xf>
    <xf numFmtId="49" fontId="14" fillId="6" borderId="0" xfId="0" applyFont="1" applyFill="1" applyAlignment="1" applyProtection="1">
      <alignment vertical="center"/>
      <protection locked="0"/>
    </xf>
    <xf numFmtId="49" fontId="13" fillId="0" borderId="14" xfId="0" applyFont="1" applyBorder="1" applyAlignment="1" applyProtection="1">
      <alignment horizontal="center" vertical="center"/>
      <protection locked="0"/>
    </xf>
    <xf numFmtId="49" fontId="13" fillId="0" borderId="9" xfId="0" applyFont="1" applyBorder="1" applyAlignment="1" applyProtection="1">
      <alignment horizontal="center" vertical="center"/>
      <protection locked="0"/>
    </xf>
    <xf numFmtId="49" fontId="13" fillId="0" borderId="15" xfId="0" applyFont="1" applyBorder="1" applyAlignment="1" applyProtection="1">
      <alignment horizontal="center" vertical="center"/>
      <protection locked="0"/>
    </xf>
    <xf numFmtId="49" fontId="1" fillId="0" borderId="1" xfId="0" applyFont="1" applyBorder="1" applyAlignment="1" applyProtection="1">
      <alignment vertical="center"/>
      <protection locked="0"/>
    </xf>
    <xf numFmtId="49" fontId="1" fillId="6" borderId="15" xfId="0" applyFont="1" applyFill="1" applyBorder="1" applyAlignment="1" applyProtection="1">
      <alignment vertical="center"/>
      <protection locked="0"/>
    </xf>
    <xf numFmtId="49" fontId="13" fillId="6" borderId="1" xfId="0" applyFont="1" applyFill="1" applyBorder="1" applyAlignment="1" applyProtection="1">
      <alignment vertical="center"/>
      <protection locked="0"/>
    </xf>
    <xf numFmtId="49" fontId="14" fillId="6" borderId="0" xfId="0" applyFont="1" applyFill="1" applyAlignment="1" applyProtection="1">
      <alignment horizontal="center" vertical="center" wrapText="1"/>
      <protection locked="0"/>
    </xf>
    <xf numFmtId="49" fontId="14" fillId="6" borderId="14" xfId="0" applyFont="1" applyFill="1" applyBorder="1" applyAlignment="1" applyProtection="1">
      <alignment horizontal="center" vertical="center"/>
      <protection locked="0"/>
    </xf>
    <xf numFmtId="49" fontId="26" fillId="6" borderId="9" xfId="0" applyFont="1" applyFill="1" applyBorder="1" applyAlignment="1" applyProtection="1">
      <alignment horizontal="center" vertical="center"/>
      <protection locked="0"/>
    </xf>
    <xf numFmtId="49" fontId="14" fillId="6" borderId="9" xfId="0" applyFont="1" applyFill="1" applyBorder="1" applyAlignment="1" applyProtection="1">
      <alignment horizontal="center" vertical="center"/>
      <protection locked="0"/>
    </xf>
    <xf numFmtId="49" fontId="14" fillId="6" borderId="15" xfId="0" applyFont="1" applyFill="1" applyBorder="1" applyAlignment="1" applyProtection="1">
      <alignment horizontal="center" vertical="center"/>
      <protection locked="0"/>
    </xf>
    <xf numFmtId="49" fontId="1" fillId="0" borderId="11" xfId="0" applyFont="1" applyBorder="1" applyAlignment="1" applyProtection="1">
      <alignment vertical="center"/>
      <protection locked="0"/>
    </xf>
    <xf numFmtId="49" fontId="1" fillId="0" borderId="3" xfId="0" applyFont="1" applyBorder="1" applyAlignment="1" applyProtection="1">
      <alignment vertical="center"/>
      <protection locked="0"/>
    </xf>
    <xf numFmtId="49" fontId="13" fillId="0" borderId="1" xfId="0" applyFont="1" applyBorder="1" applyAlignment="1" applyProtection="1">
      <alignment horizontal="center" vertical="center"/>
      <protection locked="0"/>
    </xf>
    <xf numFmtId="49" fontId="13" fillId="0" borderId="1" xfId="0" applyFont="1" applyBorder="1" applyAlignment="1" applyProtection="1">
      <alignment vertical="center"/>
      <protection locked="0"/>
    </xf>
    <xf numFmtId="49" fontId="1" fillId="0" borderId="4" xfId="0" applyFont="1" applyBorder="1" applyAlignment="1" applyProtection="1">
      <alignment vertical="center"/>
      <protection locked="0"/>
    </xf>
    <xf numFmtId="49" fontId="13" fillId="0" borderId="8" xfId="0" applyFont="1" applyBorder="1" applyAlignment="1" applyProtection="1">
      <alignment horizontal="center" vertical="center"/>
      <protection locked="0"/>
    </xf>
    <xf numFmtId="49" fontId="1" fillId="0" borderId="8" xfId="0" applyFont="1" applyBorder="1" applyAlignment="1" applyProtection="1">
      <alignment vertical="center"/>
      <protection locked="0"/>
    </xf>
    <xf numFmtId="49" fontId="13" fillId="0" borderId="8" xfId="0" applyFont="1" applyBorder="1" applyAlignment="1" applyProtection="1">
      <alignment vertical="center"/>
      <protection locked="0"/>
    </xf>
    <xf numFmtId="49" fontId="1" fillId="0" borderId="6" xfId="0" applyFont="1" applyBorder="1" applyAlignment="1" applyProtection="1">
      <alignment vertical="center"/>
      <protection locked="0"/>
    </xf>
    <xf numFmtId="14" fontId="20" fillId="6" borderId="0" xfId="0" applyNumberFormat="1" applyFont="1" applyFill="1" applyAlignment="1" applyProtection="1">
      <alignment horizontal="center" vertical="center"/>
      <protection locked="0"/>
    </xf>
    <xf numFmtId="49" fontId="13" fillId="0" borderId="0" xfId="0" applyFont="1" applyAlignment="1" applyProtection="1">
      <alignment vertical="center"/>
      <protection locked="0"/>
    </xf>
    <xf numFmtId="49" fontId="13" fillId="0" borderId="0" xfId="0" applyFont="1" applyAlignment="1" applyProtection="1">
      <alignment horizontal="center" vertical="center"/>
      <protection locked="0"/>
    </xf>
    <xf numFmtId="20" fontId="1" fillId="0" borderId="0" xfId="0" applyNumberFormat="1" applyFont="1" applyAlignment="1" applyProtection="1">
      <alignment vertical="center"/>
      <protection locked="0"/>
    </xf>
    <xf numFmtId="49" fontId="5" fillId="6" borderId="4" xfId="0" applyFont="1" applyFill="1" applyBorder="1" applyAlignment="1" applyProtection="1">
      <alignment vertical="center"/>
      <protection locked="0"/>
    </xf>
    <xf numFmtId="49" fontId="5" fillId="6" borderId="6" xfId="0" applyFont="1" applyFill="1" applyBorder="1" applyAlignment="1" applyProtection="1">
      <alignment vertical="center"/>
      <protection locked="0"/>
    </xf>
    <xf numFmtId="49" fontId="2" fillId="0" borderId="0" xfId="0" applyFont="1" applyAlignment="1" applyProtection="1">
      <alignment vertical="center"/>
      <protection locked="0"/>
    </xf>
    <xf numFmtId="49" fontId="5" fillId="0" borderId="0" xfId="0" applyFont="1" applyAlignment="1" applyProtection="1">
      <alignment vertical="center"/>
      <protection locked="0"/>
    </xf>
    <xf numFmtId="49" fontId="1" fillId="0" borderId="12" xfId="0" applyFont="1" applyBorder="1" applyAlignment="1" applyProtection="1">
      <alignment vertical="center"/>
      <protection locked="0"/>
    </xf>
    <xf numFmtId="49" fontId="5" fillId="0" borderId="8" xfId="0" applyFont="1" applyBorder="1" applyAlignment="1" applyProtection="1">
      <alignment horizontal="center" vertical="center"/>
      <protection locked="0"/>
    </xf>
    <xf numFmtId="49" fontId="5" fillId="0" borderId="9" xfId="0" applyFont="1" applyBorder="1" applyAlignment="1" applyProtection="1">
      <alignment horizontal="center" vertical="center"/>
      <protection locked="0"/>
    </xf>
    <xf numFmtId="49" fontId="1" fillId="0" borderId="5" xfId="0" applyFont="1" applyBorder="1" applyAlignment="1" applyProtection="1">
      <alignment vertical="center"/>
      <protection locked="0"/>
    </xf>
    <xf numFmtId="49" fontId="5" fillId="0" borderId="8" xfId="0" applyFont="1" applyBorder="1" applyAlignment="1" applyProtection="1">
      <alignment horizontal="centerContinuous" vertical="center"/>
      <protection locked="0"/>
    </xf>
    <xf numFmtId="49" fontId="1" fillId="0" borderId="0" xfId="0" applyFont="1" applyAlignment="1" applyProtection="1">
      <alignment horizontal="centerContinuous" vertical="center"/>
      <protection locked="0"/>
    </xf>
    <xf numFmtId="49" fontId="1" fillId="0" borderId="13" xfId="0" applyFont="1" applyBorder="1" applyAlignment="1" applyProtection="1">
      <alignment vertical="center"/>
      <protection locked="0"/>
    </xf>
    <xf numFmtId="49" fontId="17" fillId="0" borderId="0" xfId="0" applyFont="1" applyAlignment="1" applyProtection="1">
      <alignment vertical="center"/>
      <protection locked="0"/>
    </xf>
    <xf numFmtId="49" fontId="24" fillId="6" borderId="0" xfId="0" applyFont="1" applyFill="1" applyAlignment="1" applyProtection="1">
      <alignment horizontal="center" vertical="center"/>
      <protection locked="0"/>
    </xf>
    <xf numFmtId="49" fontId="7" fillId="0" borderId="0" xfId="0" applyFont="1" applyAlignment="1" applyProtection="1">
      <alignment horizontal="center" vertical="center"/>
      <protection locked="0"/>
    </xf>
    <xf numFmtId="49" fontId="3" fillId="6" borderId="0" xfId="0" applyFont="1" applyFill="1" applyAlignment="1" applyProtection="1">
      <alignment horizontal="left" vertical="center"/>
      <protection locked="0"/>
    </xf>
    <xf numFmtId="49" fontId="7" fillId="6" borderId="0" xfId="0" applyFont="1" applyFill="1" applyAlignment="1" applyProtection="1">
      <alignment horizontal="left" vertical="center"/>
      <protection locked="0"/>
    </xf>
    <xf numFmtId="49" fontId="7" fillId="0" borderId="0" xfId="0" quotePrefix="1" applyFont="1" applyProtection="1">
      <protection locked="0"/>
    </xf>
    <xf numFmtId="20" fontId="7" fillId="0" borderId="0" xfId="0" applyNumberFormat="1" applyFont="1" applyProtection="1">
      <protection locked="0"/>
    </xf>
    <xf numFmtId="49" fontId="4" fillId="6" borderId="0" xfId="0" applyFont="1" applyFill="1" applyAlignment="1" applyProtection="1">
      <alignment horizontal="right" vertical="center"/>
      <protection locked="0"/>
    </xf>
    <xf numFmtId="49" fontId="4" fillId="6" borderId="0" xfId="0" applyFont="1" applyFill="1" applyAlignment="1" applyProtection="1">
      <alignment horizontal="left" vertical="center"/>
      <protection locked="0"/>
    </xf>
    <xf numFmtId="49" fontId="13" fillId="6" borderId="15" xfId="0" applyFont="1" applyFill="1" applyBorder="1" applyAlignment="1" applyProtection="1">
      <alignment horizontal="center" vertical="center"/>
      <protection locked="0"/>
    </xf>
    <xf numFmtId="49" fontId="4" fillId="6" borderId="0" xfId="0" applyFont="1" applyFill="1" applyAlignment="1" applyProtection="1">
      <alignment horizontal="center" vertical="center"/>
      <protection locked="0"/>
    </xf>
    <xf numFmtId="49" fontId="4" fillId="6" borderId="0" xfId="0" applyFont="1" applyFill="1" applyAlignment="1" applyProtection="1">
      <alignment horizontal="left" vertical="center" wrapText="1"/>
      <protection locked="0"/>
    </xf>
    <xf numFmtId="49" fontId="4" fillId="6" borderId="0" xfId="0" applyFont="1" applyFill="1" applyAlignment="1" applyProtection="1">
      <alignment horizontal="center" vertical="center" wrapText="1"/>
      <protection locked="0"/>
    </xf>
    <xf numFmtId="49" fontId="4" fillId="6" borderId="8" xfId="0" applyFont="1" applyFill="1" applyBorder="1" applyAlignment="1" applyProtection="1">
      <alignment horizontal="center" vertical="center"/>
      <protection locked="0"/>
    </xf>
    <xf numFmtId="49" fontId="2" fillId="6" borderId="0" xfId="0" applyFont="1" applyFill="1" applyAlignment="1" applyProtection="1">
      <alignment horizontal="center" vertical="center" wrapText="1"/>
      <protection locked="0"/>
    </xf>
    <xf numFmtId="49" fontId="1" fillId="6" borderId="8" xfId="0" applyFont="1" applyFill="1" applyBorder="1" applyAlignment="1" applyProtection="1">
      <alignment horizontal="center" vertical="center" wrapText="1"/>
      <protection locked="0"/>
    </xf>
    <xf numFmtId="20" fontId="1" fillId="6" borderId="0" xfId="0" applyNumberFormat="1" applyFont="1" applyFill="1" applyAlignment="1" applyProtection="1">
      <alignment horizontal="center"/>
      <protection locked="0"/>
    </xf>
    <xf numFmtId="49" fontId="4" fillId="6" borderId="0" xfId="0" applyFont="1" applyFill="1" applyAlignment="1" applyProtection="1">
      <alignment horizontal="right" vertical="center" wrapText="1"/>
      <protection locked="0"/>
    </xf>
    <xf numFmtId="49" fontId="4" fillId="6" borderId="0" xfId="0" applyFont="1" applyFill="1" applyAlignment="1" applyProtection="1">
      <alignment horizontal="center" wrapText="1"/>
      <protection locked="0"/>
    </xf>
    <xf numFmtId="49" fontId="13" fillId="6" borderId="0" xfId="0" applyFont="1" applyFill="1" applyAlignment="1" applyProtection="1">
      <alignment horizontal="left" vertical="center"/>
      <protection locked="0"/>
    </xf>
    <xf numFmtId="49" fontId="8" fillId="6" borderId="0" xfId="0" applyFont="1" applyFill="1" applyAlignment="1" applyProtection="1">
      <alignment horizontal="right"/>
      <protection locked="0"/>
    </xf>
    <xf numFmtId="49" fontId="8" fillId="6" borderId="0" xfId="0" applyFont="1" applyFill="1" applyAlignment="1" applyProtection="1">
      <alignment horizontal="center" vertical="center"/>
      <protection locked="0"/>
    </xf>
    <xf numFmtId="49" fontId="4" fillId="6" borderId="8" xfId="0" applyFont="1" applyFill="1" applyBorder="1" applyAlignment="1" applyProtection="1">
      <alignment horizontal="center"/>
      <protection locked="0"/>
    </xf>
    <xf numFmtId="49" fontId="30" fillId="0" borderId="0" xfId="0" applyFont="1" applyAlignment="1">
      <alignment horizontal="left"/>
    </xf>
    <xf numFmtId="49" fontId="7" fillId="0" borderId="0" xfId="0" applyFont="1" applyAlignment="1">
      <alignment horizontal="left"/>
    </xf>
    <xf numFmtId="49" fontId="7" fillId="0" borderId="0" xfId="0" applyFont="1" applyAlignment="1">
      <alignment horizontal="left" vertical="center"/>
    </xf>
    <xf numFmtId="49" fontId="32" fillId="0" borderId="0" xfId="0" applyFont="1"/>
    <xf numFmtId="49" fontId="31" fillId="0" borderId="0" xfId="0" applyFont="1"/>
    <xf numFmtId="49" fontId="1" fillId="6" borderId="0" xfId="0" applyFont="1" applyFill="1" applyAlignment="1">
      <alignment horizontal="center" vertical="center"/>
    </xf>
    <xf numFmtId="49" fontId="1" fillId="0" borderId="0" xfId="0" applyFont="1" applyAlignment="1">
      <alignment vertical="center"/>
    </xf>
    <xf numFmtId="49" fontId="31" fillId="0" borderId="0" xfId="0" applyFont="1" applyAlignment="1">
      <alignment vertical="center"/>
    </xf>
    <xf numFmtId="49" fontId="31" fillId="6" borderId="0" xfId="0" applyFont="1" applyFill="1" applyAlignment="1">
      <alignment horizontal="center" vertical="center"/>
    </xf>
    <xf numFmtId="49" fontId="7" fillId="0" borderId="0" xfId="0" applyFont="1" applyAlignment="1">
      <alignment vertical="center"/>
    </xf>
    <xf numFmtId="20" fontId="13" fillId="6" borderId="0" xfId="0" applyNumberFormat="1" applyFont="1" applyFill="1" applyAlignment="1" applyProtection="1">
      <alignment horizontal="center" vertical="center"/>
      <protection locked="0"/>
    </xf>
    <xf numFmtId="49" fontId="3" fillId="6" borderId="0" xfId="0" applyFont="1" applyFill="1" applyAlignment="1" applyProtection="1">
      <alignment horizontal="center" vertical="center"/>
      <protection locked="0"/>
    </xf>
    <xf numFmtId="20" fontId="6" fillId="0" borderId="0" xfId="0" applyNumberFormat="1" applyFont="1" applyAlignment="1" applyProtection="1">
      <alignment vertical="center"/>
      <protection locked="0"/>
    </xf>
    <xf numFmtId="49" fontId="4" fillId="6" borderId="0" xfId="0" applyFont="1" applyFill="1" applyProtection="1">
      <protection locked="0"/>
    </xf>
    <xf numFmtId="49" fontId="3" fillId="0" borderId="1" xfId="0" applyFont="1" applyBorder="1" applyAlignment="1" applyProtection="1">
      <alignment horizontal="center"/>
      <protection locked="0"/>
    </xf>
    <xf numFmtId="14" fontId="4" fillId="2" borderId="0" xfId="0" applyNumberFormat="1" applyFont="1" applyFill="1" applyAlignment="1" applyProtection="1">
      <alignment horizontal="center" vertical="center"/>
      <protection locked="0"/>
    </xf>
    <xf numFmtId="1" fontId="4" fillId="6" borderId="0" xfId="0" applyNumberFormat="1" applyFont="1" applyFill="1" applyAlignment="1" applyProtection="1">
      <alignment horizontal="center"/>
      <protection locked="0"/>
    </xf>
    <xf numFmtId="14" fontId="4" fillId="2" borderId="0" xfId="0" applyNumberFormat="1" applyFont="1" applyFill="1" applyAlignment="1" applyProtection="1">
      <alignment horizontal="center"/>
      <protection locked="0"/>
    </xf>
    <xf numFmtId="49" fontId="18" fillId="6" borderId="31" xfId="0" applyFont="1" applyFill="1" applyBorder="1" applyAlignment="1" applyProtection="1">
      <alignment horizontal="center" vertical="center"/>
      <protection locked="0"/>
    </xf>
    <xf numFmtId="49" fontId="1" fillId="2" borderId="13" xfId="0" applyFont="1" applyFill="1" applyBorder="1" applyProtection="1">
      <protection locked="0"/>
    </xf>
    <xf numFmtId="49" fontId="18" fillId="6" borderId="32" xfId="0" applyFont="1" applyFill="1" applyBorder="1" applyAlignment="1" applyProtection="1">
      <alignment horizontal="center" vertical="center"/>
      <protection locked="0"/>
    </xf>
    <xf numFmtId="49" fontId="5" fillId="6" borderId="0" xfId="0" applyFont="1" applyFill="1" applyAlignment="1">
      <alignment horizontal="center" vertical="center"/>
    </xf>
    <xf numFmtId="49" fontId="23" fillId="6" borderId="0" xfId="0" applyFont="1" applyFill="1" applyAlignment="1">
      <alignment horizontal="left" vertical="center"/>
    </xf>
    <xf numFmtId="49" fontId="5" fillId="6" borderId="0" xfId="0" applyFont="1" applyFill="1" applyAlignment="1">
      <alignment vertical="center"/>
    </xf>
    <xf numFmtId="49" fontId="5" fillId="6" borderId="0" xfId="0" applyFont="1" applyFill="1" applyAlignment="1">
      <alignment horizontal="right" vertical="center"/>
    </xf>
    <xf numFmtId="49" fontId="8" fillId="6" borderId="0" xfId="0" applyFont="1" applyFill="1" applyAlignment="1">
      <alignment horizontal="center" vertical="center"/>
    </xf>
    <xf numFmtId="49" fontId="3" fillId="9" borderId="1" xfId="0" applyFont="1" applyFill="1" applyBorder="1" applyAlignment="1">
      <alignment horizontal="center"/>
    </xf>
    <xf numFmtId="49" fontId="3" fillId="9" borderId="1" xfId="0" applyFont="1" applyFill="1" applyBorder="1" applyAlignment="1">
      <alignment horizontal="center" vertical="center"/>
    </xf>
    <xf numFmtId="49" fontId="6" fillId="6" borderId="8" xfId="0" applyFont="1" applyFill="1" applyBorder="1" applyAlignment="1" applyProtection="1">
      <alignment horizontal="center" vertical="center"/>
      <protection locked="0"/>
    </xf>
    <xf numFmtId="49" fontId="13" fillId="6" borderId="14" xfId="0" applyFont="1" applyFill="1" applyBorder="1" applyAlignment="1" applyProtection="1">
      <alignment horizontal="center" vertical="center"/>
      <protection locked="0"/>
    </xf>
    <xf numFmtId="49" fontId="13" fillId="6" borderId="9" xfId="0" applyFont="1" applyFill="1" applyBorder="1" applyAlignment="1" applyProtection="1">
      <alignment horizontal="center" vertical="center"/>
      <protection locked="0"/>
    </xf>
    <xf numFmtId="49" fontId="4" fillId="6" borderId="2" xfId="0" applyFont="1" applyFill="1" applyBorder="1" applyAlignment="1" applyProtection="1">
      <alignment horizontal="center" vertical="center"/>
      <protection locked="0"/>
    </xf>
    <xf numFmtId="49" fontId="20" fillId="8" borderId="0" xfId="0" applyFont="1" applyFill="1" applyAlignment="1" applyProtection="1">
      <alignment horizontal="center" vertical="center"/>
      <protection locked="0"/>
    </xf>
    <xf numFmtId="49" fontId="1" fillId="6" borderId="0" xfId="0" applyFont="1" applyFill="1" applyAlignment="1" applyProtection="1">
      <alignment horizontal="center" vertical="center" wrapText="1"/>
      <protection locked="0"/>
    </xf>
    <xf numFmtId="49" fontId="1" fillId="6" borderId="0" xfId="0" applyFont="1" applyFill="1" applyAlignment="1" applyProtection="1">
      <alignment horizontal="right" vertical="center"/>
      <protection locked="0"/>
    </xf>
    <xf numFmtId="49" fontId="5" fillId="6" borderId="4" xfId="0" applyFont="1" applyFill="1" applyBorder="1" applyAlignment="1" applyProtection="1">
      <alignment horizontal="center" vertical="center"/>
      <protection locked="0"/>
    </xf>
    <xf numFmtId="49" fontId="8" fillId="6" borderId="0" xfId="0" applyFont="1" applyFill="1" applyAlignment="1" applyProtection="1">
      <alignment horizontal="right" vertical="center"/>
      <protection locked="0"/>
    </xf>
    <xf numFmtId="1" fontId="27" fillId="4" borderId="1" xfId="0" applyNumberFormat="1" applyFont="1" applyFill="1" applyBorder="1" applyProtection="1">
      <protection locked="0"/>
    </xf>
    <xf numFmtId="49" fontId="31" fillId="0" borderId="5" xfId="0" applyFont="1" applyBorder="1" applyProtection="1">
      <protection locked="0"/>
    </xf>
    <xf numFmtId="49" fontId="31" fillId="0" borderId="8" xfId="0" applyFont="1" applyBorder="1" applyProtection="1">
      <protection locked="0"/>
    </xf>
    <xf numFmtId="49" fontId="27" fillId="0" borderId="8" xfId="0" applyFont="1" applyBorder="1" applyProtection="1">
      <protection locked="0"/>
    </xf>
    <xf numFmtId="49" fontId="31" fillId="0" borderId="6" xfId="0" applyFont="1" applyBorder="1" applyProtection="1">
      <protection locked="0"/>
    </xf>
    <xf numFmtId="49" fontId="31" fillId="0" borderId="14" xfId="0" applyFont="1" applyBorder="1"/>
    <xf numFmtId="49" fontId="31" fillId="0" borderId="9" xfId="0" applyFont="1" applyBorder="1"/>
    <xf numFmtId="49" fontId="27" fillId="0" borderId="9" xfId="0" applyFont="1" applyBorder="1"/>
    <xf numFmtId="49" fontId="31" fillId="0" borderId="15" xfId="0" applyFont="1" applyBorder="1"/>
    <xf numFmtId="49" fontId="5" fillId="9" borderId="1" xfId="0" applyFont="1" applyFill="1" applyBorder="1" applyAlignment="1" applyProtection="1">
      <alignment horizontal="center" vertical="center"/>
      <protection locked="0"/>
    </xf>
    <xf numFmtId="49" fontId="13" fillId="9" borderId="1" xfId="0" applyFont="1" applyFill="1" applyBorder="1" applyAlignment="1" applyProtection="1">
      <alignment horizontal="center" vertical="center"/>
      <protection locked="0"/>
    </xf>
    <xf numFmtId="49" fontId="13" fillId="9" borderId="1" xfId="0" applyFont="1" applyFill="1" applyBorder="1" applyAlignment="1" applyProtection="1">
      <alignment vertical="center"/>
      <protection locked="0"/>
    </xf>
    <xf numFmtId="20" fontId="6" fillId="10" borderId="2" xfId="0" applyNumberFormat="1" applyFont="1" applyFill="1" applyBorder="1" applyAlignment="1" applyProtection="1">
      <alignment horizontal="center"/>
      <protection locked="0"/>
    </xf>
    <xf numFmtId="20" fontId="6" fillId="10" borderId="0" xfId="0" applyNumberFormat="1" applyFont="1" applyFill="1" applyAlignment="1" applyProtection="1">
      <alignment horizontal="center"/>
      <protection locked="0"/>
    </xf>
    <xf numFmtId="20" fontId="6" fillId="10" borderId="39" xfId="0" applyNumberFormat="1" applyFont="1" applyFill="1" applyBorder="1" applyAlignment="1" applyProtection="1">
      <alignment horizontal="center"/>
      <protection locked="0"/>
    </xf>
    <xf numFmtId="49" fontId="3" fillId="0" borderId="1" xfId="0" applyFont="1" applyBorder="1" applyAlignment="1">
      <alignment horizontal="left"/>
    </xf>
    <xf numFmtId="166" fontId="31" fillId="0" borderId="0" xfId="0" applyNumberFormat="1" applyFont="1" applyAlignment="1">
      <alignment horizontal="center"/>
    </xf>
    <xf numFmtId="165" fontId="3" fillId="0" borderId="1" xfId="0" applyNumberFormat="1" applyFont="1" applyBorder="1" applyAlignment="1">
      <alignment horizontal="right" vertical="center"/>
    </xf>
    <xf numFmtId="0" fontId="3" fillId="0" borderId="1" xfId="0" applyNumberFormat="1" applyFont="1" applyBorder="1" applyAlignment="1">
      <alignment horizontal="right" vertical="center"/>
    </xf>
    <xf numFmtId="20" fontId="31" fillId="0" borderId="1" xfId="0" applyNumberFormat="1" applyFont="1" applyBorder="1" applyAlignment="1" applyProtection="1">
      <alignment horizontal="center"/>
      <protection locked="0"/>
    </xf>
    <xf numFmtId="49" fontId="28" fillId="4" borderId="1" xfId="0" applyFont="1" applyFill="1" applyBorder="1" applyAlignment="1" applyProtection="1">
      <alignment horizontal="center" vertical="center" wrapText="1"/>
      <protection locked="0"/>
    </xf>
    <xf numFmtId="49" fontId="28" fillId="4" borderId="1" xfId="0" applyFont="1" applyFill="1" applyBorder="1" applyAlignment="1" applyProtection="1">
      <alignment horizontal="center"/>
      <protection locked="0"/>
    </xf>
    <xf numFmtId="21" fontId="27" fillId="0" borderId="1" xfId="0" applyNumberFormat="1" applyFont="1" applyBorder="1" applyAlignment="1">
      <alignment horizontal="center"/>
    </xf>
    <xf numFmtId="21" fontId="27" fillId="0" borderId="38" xfId="0" applyNumberFormat="1" applyFont="1" applyBorder="1" applyAlignment="1">
      <alignment horizontal="center"/>
    </xf>
    <xf numFmtId="20" fontId="31" fillId="0" borderId="38" xfId="0" applyNumberFormat="1" applyFont="1" applyBorder="1" applyAlignment="1" applyProtection="1">
      <alignment horizontal="center"/>
      <protection locked="0"/>
    </xf>
    <xf numFmtId="165" fontId="6" fillId="10" borderId="2" xfId="0" applyNumberFormat="1" applyFont="1" applyFill="1" applyBorder="1" applyAlignment="1" applyProtection="1">
      <alignment horizontal="center"/>
      <protection locked="0"/>
    </xf>
    <xf numFmtId="165" fontId="6" fillId="10" borderId="0" xfId="0" applyNumberFormat="1" applyFont="1" applyFill="1" applyAlignment="1" applyProtection="1">
      <alignment horizontal="center"/>
      <protection locked="0"/>
    </xf>
    <xf numFmtId="165" fontId="6" fillId="10" borderId="39" xfId="0" applyNumberFormat="1" applyFont="1" applyFill="1" applyBorder="1" applyAlignment="1" applyProtection="1">
      <alignment horizontal="center"/>
      <protection locked="0"/>
    </xf>
    <xf numFmtId="49" fontId="28" fillId="3" borderId="1" xfId="0" applyFont="1" applyFill="1" applyBorder="1" applyAlignment="1">
      <alignment horizontal="center" vertical="center" wrapText="1"/>
    </xf>
    <xf numFmtId="20" fontId="27" fillId="3" borderId="34" xfId="0" applyNumberFormat="1" applyFont="1" applyFill="1" applyBorder="1" applyAlignment="1">
      <alignment horizontal="center"/>
    </xf>
    <xf numFmtId="20" fontId="27" fillId="3" borderId="1" xfId="0" applyNumberFormat="1" applyFont="1" applyFill="1" applyBorder="1" applyAlignment="1">
      <alignment horizontal="center"/>
    </xf>
    <xf numFmtId="49" fontId="28" fillId="5" borderId="0" xfId="0" applyFont="1" applyFill="1" applyAlignment="1" applyProtection="1">
      <alignment horizontal="center"/>
      <protection locked="0"/>
    </xf>
    <xf numFmtId="49" fontId="29" fillId="3" borderId="40" xfId="0" applyFont="1" applyFill="1" applyBorder="1" applyAlignment="1" applyProtection="1">
      <alignment horizontal="center" vertical="center" wrapText="1"/>
      <protection locked="0"/>
    </xf>
    <xf numFmtId="49" fontId="29" fillId="3" borderId="0" xfId="0" applyFont="1" applyFill="1" applyAlignment="1" applyProtection="1">
      <alignment horizontal="center" vertical="center" wrapText="1"/>
      <protection locked="0"/>
    </xf>
    <xf numFmtId="20" fontId="6" fillId="3" borderId="0" xfId="0" applyNumberFormat="1" applyFont="1" applyFill="1" applyAlignment="1" applyProtection="1">
      <alignment horizontal="center"/>
      <protection locked="0"/>
    </xf>
    <xf numFmtId="20" fontId="6" fillId="3" borderId="4" xfId="0" applyNumberFormat="1" applyFont="1" applyFill="1" applyBorder="1" applyAlignment="1" applyProtection="1">
      <alignment horizontal="center"/>
      <protection locked="0"/>
    </xf>
    <xf numFmtId="49" fontId="29" fillId="3" borderId="39" xfId="0" applyFont="1" applyFill="1" applyBorder="1" applyAlignment="1" applyProtection="1">
      <alignment horizontal="center" vertical="center" wrapText="1"/>
      <protection locked="0"/>
    </xf>
    <xf numFmtId="165" fontId="6" fillId="3" borderId="2" xfId="0" applyNumberFormat="1" applyFont="1" applyFill="1" applyBorder="1" applyAlignment="1" applyProtection="1">
      <alignment horizontal="center"/>
      <protection locked="0"/>
    </xf>
    <xf numFmtId="165" fontId="6" fillId="3" borderId="0" xfId="0" applyNumberFormat="1" applyFont="1" applyFill="1" applyAlignment="1" applyProtection="1">
      <alignment horizontal="center"/>
      <protection locked="0"/>
    </xf>
    <xf numFmtId="165" fontId="6" fillId="3" borderId="4" xfId="0" applyNumberFormat="1" applyFont="1" applyFill="1" applyBorder="1" applyAlignment="1" applyProtection="1">
      <alignment horizontal="center"/>
      <protection locked="0"/>
    </xf>
    <xf numFmtId="20" fontId="6" fillId="3" borderId="2" xfId="0" applyNumberFormat="1" applyFont="1" applyFill="1" applyBorder="1" applyAlignment="1" applyProtection="1">
      <alignment horizontal="center"/>
      <protection locked="0"/>
    </xf>
    <xf numFmtId="49" fontId="28" fillId="0" borderId="1" xfId="0" applyFont="1" applyBorder="1" applyAlignment="1">
      <alignment horizontal="center" vertical="center" wrapText="1"/>
    </xf>
    <xf numFmtId="20" fontId="27" fillId="0" borderId="34" xfId="0" applyNumberFormat="1" applyFont="1" applyBorder="1" applyAlignment="1">
      <alignment horizontal="center"/>
    </xf>
    <xf numFmtId="20" fontId="27" fillId="0" borderId="1" xfId="0" applyNumberFormat="1" applyFont="1" applyBorder="1" applyAlignment="1">
      <alignment horizontal="center"/>
    </xf>
    <xf numFmtId="21" fontId="27" fillId="3" borderId="1" xfId="0" applyNumberFormat="1" applyFont="1" applyFill="1" applyBorder="1" applyAlignment="1">
      <alignment horizontal="center"/>
    </xf>
    <xf numFmtId="49" fontId="3" fillId="0" borderId="1" xfId="0" applyFont="1" applyBorder="1" applyAlignment="1">
      <alignment horizontal="center"/>
    </xf>
    <xf numFmtId="49" fontId="13" fillId="6" borderId="14" xfId="0" applyFont="1" applyFill="1" applyBorder="1" applyAlignment="1" applyProtection="1">
      <alignment horizontal="center" vertical="center"/>
      <protection locked="0"/>
    </xf>
    <xf numFmtId="49" fontId="13" fillId="6" borderId="9" xfId="0" applyFont="1" applyFill="1" applyBorder="1" applyAlignment="1" applyProtection="1">
      <alignment horizontal="center" vertical="center"/>
      <protection locked="0"/>
    </xf>
    <xf numFmtId="49" fontId="13" fillId="6" borderId="15" xfId="0" applyFont="1" applyFill="1" applyBorder="1" applyAlignment="1" applyProtection="1">
      <alignment horizontal="center" vertical="center"/>
      <protection locked="0"/>
    </xf>
    <xf numFmtId="49" fontId="4" fillId="6" borderId="2" xfId="0" applyFont="1" applyFill="1" applyBorder="1" applyAlignment="1" applyProtection="1">
      <alignment horizontal="center" vertical="center"/>
      <protection locked="0"/>
    </xf>
    <xf numFmtId="49" fontId="4" fillId="6" borderId="0" xfId="0" applyFont="1" applyFill="1" applyAlignment="1" applyProtection="1">
      <alignment horizontal="center" vertical="center"/>
      <protection locked="0"/>
    </xf>
    <xf numFmtId="49" fontId="4" fillId="6" borderId="4" xfId="0" applyFont="1" applyFill="1" applyBorder="1" applyAlignment="1" applyProtection="1">
      <alignment horizontal="center" vertical="center"/>
      <protection locked="0"/>
    </xf>
    <xf numFmtId="49" fontId="4" fillId="6" borderId="0" xfId="0" applyFont="1" applyFill="1" applyAlignment="1" applyProtection="1">
      <alignment horizontal="right" vertical="center"/>
      <protection locked="0"/>
    </xf>
    <xf numFmtId="49" fontId="4" fillId="6" borderId="4" xfId="0" applyFont="1" applyFill="1" applyBorder="1" applyAlignment="1" applyProtection="1">
      <alignment horizontal="right" vertical="center"/>
      <protection locked="0"/>
    </xf>
    <xf numFmtId="49" fontId="20" fillId="6" borderId="14" xfId="0" applyFont="1" applyFill="1" applyBorder="1" applyAlignment="1" applyProtection="1">
      <alignment horizontal="center" vertical="center"/>
      <protection locked="0"/>
    </xf>
    <xf numFmtId="49" fontId="20" fillId="6" borderId="9" xfId="0" applyFont="1" applyFill="1" applyBorder="1" applyAlignment="1" applyProtection="1">
      <alignment horizontal="center" vertical="center"/>
      <protection locked="0"/>
    </xf>
    <xf numFmtId="49" fontId="20" fillId="6" borderId="15" xfId="0" applyFont="1" applyFill="1" applyBorder="1" applyAlignment="1" applyProtection="1">
      <alignment horizontal="center" vertical="center"/>
      <protection locked="0"/>
    </xf>
    <xf numFmtId="49" fontId="5" fillId="6" borderId="0" xfId="0" applyFont="1" applyFill="1" applyAlignment="1" applyProtection="1">
      <alignment horizontal="center" vertical="center"/>
      <protection locked="0"/>
    </xf>
    <xf numFmtId="49" fontId="4" fillId="6" borderId="0" xfId="0" applyFont="1" applyFill="1" applyAlignment="1" applyProtection="1">
      <alignment horizontal="left" vertical="center"/>
      <protection locked="0"/>
    </xf>
    <xf numFmtId="49" fontId="3" fillId="0" borderId="14" xfId="0" applyFont="1" applyBorder="1" applyAlignment="1">
      <alignment horizontal="center"/>
    </xf>
    <xf numFmtId="49" fontId="3" fillId="0" borderId="9" xfId="0" applyFont="1" applyBorder="1" applyAlignment="1">
      <alignment horizontal="center"/>
    </xf>
    <xf numFmtId="49" fontId="3" fillId="0" borderId="15" xfId="0" applyFont="1" applyBorder="1" applyAlignment="1">
      <alignment horizontal="center"/>
    </xf>
    <xf numFmtId="49" fontId="28" fillId="5" borderId="11" xfId="0" applyFont="1" applyFill="1" applyBorder="1" applyAlignment="1">
      <alignment horizontal="center"/>
    </xf>
    <xf numFmtId="49" fontId="28" fillId="5" borderId="3" xfId="0" applyFont="1" applyFill="1" applyBorder="1" applyAlignment="1">
      <alignment horizontal="center"/>
    </xf>
    <xf numFmtId="49" fontId="28" fillId="5" borderId="12" xfId="0" applyFont="1" applyFill="1" applyBorder="1" applyAlignment="1">
      <alignment horizontal="center"/>
    </xf>
    <xf numFmtId="49" fontId="0" fillId="0" borderId="0" xfId="0" applyAlignment="1">
      <alignment horizontal="center"/>
    </xf>
    <xf numFmtId="165" fontId="27" fillId="3" borderId="7" xfId="0" applyNumberFormat="1" applyFont="1" applyFill="1" applyBorder="1" applyAlignment="1">
      <alignment horizontal="center"/>
    </xf>
    <xf numFmtId="14" fontId="20" fillId="6" borderId="14" xfId="0" applyNumberFormat="1" applyFont="1" applyFill="1" applyBorder="1" applyAlignment="1" applyProtection="1">
      <alignment horizontal="center" vertical="center"/>
      <protection locked="0"/>
    </xf>
    <xf numFmtId="14" fontId="20" fillId="6" borderId="9" xfId="0" applyNumberFormat="1" applyFont="1" applyFill="1" applyBorder="1" applyAlignment="1" applyProtection="1">
      <alignment horizontal="center" vertical="center"/>
      <protection locked="0"/>
    </xf>
    <xf numFmtId="14" fontId="20" fillId="6" borderId="15" xfId="0" applyNumberFormat="1" applyFont="1" applyFill="1" applyBorder="1" applyAlignment="1" applyProtection="1">
      <alignment horizontal="center" vertical="center"/>
      <protection locked="0"/>
    </xf>
    <xf numFmtId="165" fontId="27" fillId="0" borderId="7" xfId="0" applyNumberFormat="1" applyFont="1" applyBorder="1" applyAlignment="1">
      <alignment horizontal="center"/>
    </xf>
    <xf numFmtId="165" fontId="27" fillId="0" borderId="5" xfId="0" applyNumberFormat="1" applyFont="1" applyBorder="1" applyAlignment="1">
      <alignment horizontal="center"/>
    </xf>
    <xf numFmtId="49" fontId="6" fillId="6" borderId="14" xfId="0" applyFont="1" applyFill="1" applyBorder="1" applyAlignment="1" applyProtection="1">
      <alignment horizontal="center" vertical="center"/>
      <protection locked="0"/>
    </xf>
    <xf numFmtId="49" fontId="6" fillId="6" borderId="9" xfId="0" applyFont="1" applyFill="1" applyBorder="1" applyAlignment="1" applyProtection="1">
      <alignment horizontal="center" vertical="center"/>
      <protection locked="0"/>
    </xf>
    <xf numFmtId="49" fontId="6" fillId="6" borderId="15" xfId="0" applyFont="1" applyFill="1" applyBorder="1" applyAlignment="1" applyProtection="1">
      <alignment horizontal="center" vertical="center"/>
      <protection locked="0"/>
    </xf>
    <xf numFmtId="49" fontId="13" fillId="0" borderId="14" xfId="0" applyFont="1" applyBorder="1" applyAlignment="1" applyProtection="1">
      <alignment horizontal="center" vertical="center"/>
      <protection locked="0"/>
    </xf>
    <xf numFmtId="49" fontId="13" fillId="0" borderId="9" xfId="0" applyFont="1" applyBorder="1" applyAlignment="1" applyProtection="1">
      <alignment horizontal="center" vertical="center"/>
      <protection locked="0"/>
    </xf>
    <xf numFmtId="49" fontId="13" fillId="0" borderId="15" xfId="0" applyFont="1" applyBorder="1" applyAlignment="1" applyProtection="1">
      <alignment horizontal="center" vertical="center"/>
      <protection locked="0"/>
    </xf>
    <xf numFmtId="49" fontId="4" fillId="6" borderId="0" xfId="0" applyFont="1" applyFill="1" applyAlignment="1" applyProtection="1">
      <alignment horizontal="left" vertical="center" wrapText="1"/>
      <protection locked="0"/>
    </xf>
    <xf numFmtId="49" fontId="13" fillId="6" borderId="14" xfId="0" applyFont="1" applyFill="1" applyBorder="1" applyAlignment="1" applyProtection="1">
      <alignment horizontal="center" vertical="center" wrapText="1"/>
      <protection locked="0"/>
    </xf>
    <xf numFmtId="49" fontId="13" fillId="6" borderId="15" xfId="0" applyFont="1" applyFill="1" applyBorder="1" applyAlignment="1" applyProtection="1">
      <alignment horizontal="center" vertical="center" wrapText="1"/>
      <protection locked="0"/>
    </xf>
    <xf numFmtId="49" fontId="4" fillId="6" borderId="0" xfId="0" applyFont="1" applyFill="1" applyAlignment="1" applyProtection="1">
      <alignment horizontal="center" vertical="center" wrapText="1"/>
      <protection locked="0"/>
    </xf>
    <xf numFmtId="49" fontId="5" fillId="6" borderId="0" xfId="0" applyFont="1" applyFill="1" applyAlignment="1" applyProtection="1">
      <alignment horizontal="right" vertical="center"/>
      <protection locked="0"/>
    </xf>
    <xf numFmtId="21" fontId="27" fillId="3" borderId="7" xfId="0" applyNumberFormat="1" applyFont="1" applyFill="1" applyBorder="1" applyAlignment="1">
      <alignment horizontal="center"/>
    </xf>
    <xf numFmtId="165" fontId="27" fillId="3" borderId="41" xfId="0" applyNumberFormat="1" applyFont="1" applyFill="1" applyBorder="1" applyAlignment="1">
      <alignment horizontal="center"/>
    </xf>
    <xf numFmtId="49" fontId="24" fillId="8" borderId="0" xfId="0" applyFont="1" applyFill="1" applyAlignment="1" applyProtection="1">
      <alignment horizontal="center" vertical="center"/>
      <protection locked="0"/>
    </xf>
    <xf numFmtId="49" fontId="4" fillId="6" borderId="2" xfId="0" applyFont="1" applyFill="1" applyBorder="1" applyAlignment="1" applyProtection="1">
      <alignment horizontal="center" vertical="center" wrapText="1"/>
      <protection locked="0"/>
    </xf>
    <xf numFmtId="49" fontId="4" fillId="6" borderId="4" xfId="0" applyFont="1" applyFill="1" applyBorder="1" applyAlignment="1" applyProtection="1">
      <alignment horizontal="center" vertical="center" wrapText="1"/>
      <protection locked="0"/>
    </xf>
    <xf numFmtId="49" fontId="13" fillId="9" borderId="14" xfId="0" applyFont="1" applyFill="1" applyBorder="1" applyAlignment="1" applyProtection="1">
      <alignment horizontal="center" vertical="center"/>
      <protection locked="0"/>
    </xf>
    <xf numFmtId="49" fontId="13" fillId="9" borderId="9" xfId="0" applyFont="1" applyFill="1" applyBorder="1" applyAlignment="1" applyProtection="1">
      <alignment horizontal="center" vertical="center"/>
      <protection locked="0"/>
    </xf>
    <xf numFmtId="49" fontId="13" fillId="9" borderId="15" xfId="0" applyFont="1" applyFill="1" applyBorder="1" applyAlignment="1" applyProtection="1">
      <alignment horizontal="center" vertical="center"/>
      <protection locked="0"/>
    </xf>
    <xf numFmtId="49" fontId="1" fillId="6" borderId="14" xfId="0" applyFont="1" applyFill="1" applyBorder="1" applyAlignment="1" applyProtection="1">
      <alignment horizontal="center" vertical="center"/>
      <protection locked="0"/>
    </xf>
    <xf numFmtId="49" fontId="1" fillId="6" borderId="9" xfId="0" applyFont="1" applyFill="1" applyBorder="1" applyAlignment="1" applyProtection="1">
      <alignment horizontal="center" vertical="center"/>
      <protection locked="0"/>
    </xf>
    <xf numFmtId="49" fontId="1" fillId="6" borderId="15" xfId="0" applyFont="1" applyFill="1" applyBorder="1" applyAlignment="1" applyProtection="1">
      <alignment horizontal="center" vertical="center"/>
      <protection locked="0"/>
    </xf>
    <xf numFmtId="0" fontId="13" fillId="6" borderId="14" xfId="0" applyNumberFormat="1" applyFont="1" applyFill="1" applyBorder="1" applyAlignment="1" applyProtection="1">
      <alignment horizontal="center" vertical="center"/>
      <protection locked="0"/>
    </xf>
    <xf numFmtId="0" fontId="13" fillId="6" borderId="15" xfId="0" applyNumberFormat="1" applyFont="1" applyFill="1" applyBorder="1" applyAlignment="1" applyProtection="1">
      <alignment horizontal="center" vertical="center"/>
      <protection locked="0"/>
    </xf>
    <xf numFmtId="49" fontId="1" fillId="0" borderId="0" xfId="0" applyFont="1" applyAlignment="1" applyProtection="1">
      <alignment horizontal="left" vertical="center"/>
      <protection locked="0"/>
    </xf>
    <xf numFmtId="49" fontId="20" fillId="8" borderId="0" xfId="0" applyFont="1" applyFill="1" applyAlignment="1" applyProtection="1">
      <alignment horizontal="center" vertical="center"/>
      <protection locked="0"/>
    </xf>
    <xf numFmtId="49" fontId="12" fillId="0" borderId="35" xfId="0" applyFont="1" applyBorder="1" applyAlignment="1" applyProtection="1">
      <alignment horizontal="center" vertical="center"/>
      <protection locked="0"/>
    </xf>
    <xf numFmtId="49" fontId="12" fillId="0" borderId="36" xfId="0" applyFont="1" applyBorder="1" applyAlignment="1" applyProtection="1">
      <alignment horizontal="center" vertical="center"/>
      <protection locked="0"/>
    </xf>
    <xf numFmtId="49" fontId="12" fillId="0" borderId="37" xfId="0" applyFont="1" applyBorder="1" applyAlignment="1" applyProtection="1">
      <alignment horizontal="center" vertical="center"/>
      <protection locked="0"/>
    </xf>
    <xf numFmtId="0" fontId="20" fillId="6" borderId="14" xfId="0" applyNumberFormat="1" applyFont="1" applyFill="1" applyBorder="1" applyAlignment="1" applyProtection="1">
      <alignment horizontal="center" vertical="center"/>
      <protection locked="0"/>
    </xf>
    <xf numFmtId="0" fontId="20" fillId="6" borderId="9" xfId="0" applyNumberFormat="1" applyFont="1" applyFill="1" applyBorder="1" applyAlignment="1" applyProtection="1">
      <alignment horizontal="center" vertical="center"/>
      <protection locked="0"/>
    </xf>
    <xf numFmtId="0" fontId="20" fillId="6" borderId="15" xfId="0" applyNumberFormat="1" applyFont="1" applyFill="1" applyBorder="1" applyAlignment="1" applyProtection="1">
      <alignment horizontal="center" vertical="center"/>
      <protection locked="0"/>
    </xf>
    <xf numFmtId="0" fontId="13" fillId="6" borderId="9" xfId="0" applyNumberFormat="1" applyFont="1" applyFill="1" applyBorder="1" applyAlignment="1" applyProtection="1">
      <alignment horizontal="center" vertical="center"/>
      <protection locked="0"/>
    </xf>
    <xf numFmtId="49" fontId="5" fillId="6" borderId="0" xfId="0" applyFont="1" applyFill="1" applyAlignment="1" applyProtection="1">
      <alignment horizontal="center" vertical="center" wrapText="1"/>
      <protection locked="0"/>
    </xf>
    <xf numFmtId="49" fontId="4" fillId="6" borderId="14" xfId="0" applyFont="1" applyFill="1" applyBorder="1" applyAlignment="1" applyProtection="1">
      <alignment horizontal="center" vertical="center"/>
      <protection locked="0"/>
    </xf>
    <xf numFmtId="49" fontId="4" fillId="6" borderId="9" xfId="0" applyFont="1" applyFill="1" applyBorder="1" applyAlignment="1" applyProtection="1">
      <alignment horizontal="center" vertical="center"/>
      <protection locked="0"/>
    </xf>
    <xf numFmtId="49" fontId="4" fillId="6" borderId="15" xfId="0" applyFont="1" applyFill="1" applyBorder="1" applyAlignment="1" applyProtection="1">
      <alignment horizontal="center" vertical="center"/>
      <protection locked="0"/>
    </xf>
    <xf numFmtId="14" fontId="13" fillId="6" borderId="14" xfId="0" applyNumberFormat="1" applyFont="1" applyFill="1" applyBorder="1" applyAlignment="1" applyProtection="1">
      <alignment horizontal="center" vertical="center"/>
      <protection locked="0"/>
    </xf>
    <xf numFmtId="14" fontId="13" fillId="6" borderId="9" xfId="0" applyNumberFormat="1" applyFont="1" applyFill="1" applyBorder="1" applyAlignment="1" applyProtection="1">
      <alignment horizontal="center" vertical="center"/>
      <protection locked="0"/>
    </xf>
    <xf numFmtId="14" fontId="13" fillId="6" borderId="15" xfId="0" applyNumberFormat="1" applyFont="1" applyFill="1" applyBorder="1" applyAlignment="1" applyProtection="1">
      <alignment horizontal="center" vertical="center"/>
      <protection locked="0"/>
    </xf>
    <xf numFmtId="49" fontId="4" fillId="6" borderId="2" xfId="0" applyFont="1" applyFill="1" applyBorder="1" applyAlignment="1" applyProtection="1">
      <alignment horizontal="right" vertical="center"/>
      <protection locked="0"/>
    </xf>
    <xf numFmtId="164" fontId="4" fillId="6" borderId="0" xfId="1" applyFont="1" applyFill="1" applyBorder="1" applyAlignment="1" applyProtection="1">
      <alignment horizontal="center" vertical="center"/>
      <protection locked="0"/>
    </xf>
    <xf numFmtId="49" fontId="4" fillId="6" borderId="4" xfId="0" applyFont="1" applyFill="1" applyBorder="1" applyAlignment="1" applyProtection="1">
      <alignment horizontal="left" vertical="center"/>
      <protection locked="0"/>
    </xf>
    <xf numFmtId="49" fontId="24" fillId="8" borderId="8" xfId="0" applyFont="1" applyFill="1" applyBorder="1" applyAlignment="1" applyProtection="1">
      <alignment horizontal="center" vertical="center"/>
      <protection locked="0"/>
    </xf>
    <xf numFmtId="49" fontId="4" fillId="6" borderId="8" xfId="0" applyFont="1" applyFill="1" applyBorder="1" applyAlignment="1" applyProtection="1">
      <alignment horizontal="left" vertical="center"/>
      <protection locked="0"/>
    </xf>
    <xf numFmtId="49" fontId="4" fillId="6" borderId="8" xfId="0" applyFont="1" applyFill="1" applyBorder="1" applyAlignment="1" applyProtection="1">
      <alignment horizontal="center" vertical="center"/>
      <protection locked="0"/>
    </xf>
    <xf numFmtId="49" fontId="23" fillId="6" borderId="2" xfId="0" applyFont="1" applyFill="1" applyBorder="1" applyAlignment="1" applyProtection="1">
      <alignment horizontal="center" vertical="center" wrapText="1" shrinkToFit="1"/>
      <protection locked="0"/>
    </xf>
    <xf numFmtId="49" fontId="23" fillId="6" borderId="0" xfId="0" applyFont="1" applyFill="1" applyAlignment="1" applyProtection="1">
      <alignment horizontal="center" vertical="center" shrinkToFit="1"/>
      <protection locked="0"/>
    </xf>
    <xf numFmtId="49" fontId="23" fillId="6" borderId="4" xfId="0" applyFont="1" applyFill="1" applyBorder="1" applyAlignment="1" applyProtection="1">
      <alignment horizontal="center" vertical="center" shrinkToFit="1"/>
      <protection locked="0"/>
    </xf>
    <xf numFmtId="49" fontId="13" fillId="6" borderId="14" xfId="0" applyFont="1" applyFill="1" applyBorder="1" applyAlignment="1" applyProtection="1">
      <alignment horizontal="left" vertical="center"/>
      <protection locked="0"/>
    </xf>
    <xf numFmtId="49" fontId="13" fillId="6" borderId="9" xfId="0" applyFont="1" applyFill="1" applyBorder="1" applyAlignment="1" applyProtection="1">
      <alignment horizontal="left" vertical="center"/>
      <protection locked="0"/>
    </xf>
    <xf numFmtId="49" fontId="13" fillId="6" borderId="15" xfId="0" applyFont="1" applyFill="1" applyBorder="1" applyAlignment="1" applyProtection="1">
      <alignment horizontal="left" vertical="center"/>
      <protection locked="0"/>
    </xf>
    <xf numFmtId="165" fontId="3" fillId="0" borderId="1" xfId="0" applyNumberFormat="1" applyFont="1" applyBorder="1" applyAlignment="1">
      <alignment horizontal="right"/>
    </xf>
    <xf numFmtId="165" fontId="33" fillId="0" borderId="1" xfId="0" applyNumberFormat="1" applyFont="1" applyBorder="1" applyAlignment="1">
      <alignment horizontal="right"/>
    </xf>
    <xf numFmtId="49" fontId="1" fillId="0" borderId="33" xfId="0" applyFont="1" applyBorder="1" applyAlignment="1" applyProtection="1">
      <alignment horizontal="center" vertical="center"/>
      <protection locked="0"/>
    </xf>
    <xf numFmtId="49" fontId="1" fillId="0" borderId="0" xfId="0" applyFont="1" applyAlignment="1" applyProtection="1">
      <alignment horizontal="center" vertical="center"/>
      <protection locked="0"/>
    </xf>
    <xf numFmtId="49" fontId="5" fillId="0" borderId="9" xfId="0" applyFont="1" applyBorder="1" applyAlignment="1" applyProtection="1">
      <alignment horizontal="center" vertical="center"/>
      <protection locked="0"/>
    </xf>
    <xf numFmtId="49" fontId="5" fillId="0" borderId="15" xfId="0" applyFont="1" applyBorder="1" applyAlignment="1" applyProtection="1">
      <alignment horizontal="center" vertical="center"/>
      <protection locked="0"/>
    </xf>
    <xf numFmtId="49" fontId="6" fillId="7" borderId="14" xfId="0" applyFont="1" applyFill="1" applyBorder="1" applyAlignment="1" applyProtection="1">
      <alignment horizontal="center" vertical="center"/>
      <protection locked="0"/>
    </xf>
    <xf numFmtId="49" fontId="6" fillId="7" borderId="9" xfId="0" applyFont="1" applyFill="1" applyBorder="1" applyAlignment="1" applyProtection="1">
      <alignment horizontal="center" vertical="center"/>
      <protection locked="0"/>
    </xf>
    <xf numFmtId="49" fontId="6" fillId="7" borderId="15" xfId="0" applyFont="1" applyFill="1" applyBorder="1" applyAlignment="1" applyProtection="1">
      <alignment horizontal="center" vertical="center"/>
      <protection locked="0"/>
    </xf>
    <xf numFmtId="49" fontId="6" fillId="7" borderId="3" xfId="0" applyFont="1" applyFill="1" applyBorder="1" applyAlignment="1" applyProtection="1">
      <alignment horizontal="center" vertical="center"/>
      <protection locked="0"/>
    </xf>
    <xf numFmtId="49" fontId="5" fillId="0" borderId="14" xfId="0" applyFont="1" applyBorder="1" applyAlignment="1" applyProtection="1">
      <alignment horizontal="center" vertical="center"/>
      <protection locked="0"/>
    </xf>
    <xf numFmtId="49" fontId="5" fillId="0" borderId="3" xfId="0" applyFont="1" applyBorder="1" applyAlignment="1" applyProtection="1">
      <alignment horizontal="center" vertical="center"/>
      <protection locked="0"/>
    </xf>
    <xf numFmtId="49" fontId="3" fillId="7" borderId="0" xfId="0" applyFont="1" applyFill="1" applyAlignment="1" applyProtection="1">
      <alignment horizontal="center" vertical="center"/>
      <protection locked="0"/>
    </xf>
    <xf numFmtId="49" fontId="5" fillId="0" borderId="0" xfId="0" applyFont="1" applyAlignment="1" applyProtection="1">
      <alignment horizontal="center" vertical="center"/>
      <protection locked="0"/>
    </xf>
    <xf numFmtId="49" fontId="6" fillId="7" borderId="0" xfId="0" applyFont="1" applyFill="1" applyAlignment="1" applyProtection="1">
      <alignment horizontal="center" vertical="center"/>
      <protection locked="0"/>
    </xf>
    <xf numFmtId="49" fontId="6" fillId="7" borderId="8" xfId="0" applyFont="1" applyFill="1" applyBorder="1" applyAlignment="1" applyProtection="1">
      <alignment horizontal="center" vertical="center"/>
      <protection locked="0"/>
    </xf>
    <xf numFmtId="49" fontId="27" fillId="7" borderId="8" xfId="0" applyFont="1" applyFill="1" applyBorder="1" applyAlignment="1" applyProtection="1">
      <alignment horizontal="center" vertical="center" wrapText="1"/>
      <protection locked="0"/>
    </xf>
    <xf numFmtId="49" fontId="8" fillId="6" borderId="11" xfId="0" applyFont="1" applyFill="1" applyBorder="1" applyAlignment="1" applyProtection="1">
      <alignment horizontal="center" vertical="center"/>
      <protection locked="0"/>
    </xf>
    <xf numFmtId="49" fontId="8" fillId="6" borderId="3" xfId="0" applyFont="1" applyFill="1" applyBorder="1" applyAlignment="1" applyProtection="1">
      <alignment horizontal="center" vertical="center"/>
      <protection locked="0"/>
    </xf>
    <xf numFmtId="49" fontId="8" fillId="6" borderId="5" xfId="0" applyFont="1" applyFill="1" applyBorder="1" applyAlignment="1" applyProtection="1">
      <alignment horizontal="center" vertical="center"/>
      <protection locked="0"/>
    </xf>
    <xf numFmtId="49" fontId="8" fillId="6" borderId="8" xfId="0" applyFont="1" applyFill="1" applyBorder="1" applyAlignment="1" applyProtection="1">
      <alignment horizontal="center" vertical="center"/>
      <protection locked="0"/>
    </xf>
    <xf numFmtId="49" fontId="6" fillId="6" borderId="3" xfId="0" applyFont="1" applyFill="1" applyBorder="1" applyAlignment="1" applyProtection="1">
      <alignment horizontal="center" vertical="center"/>
      <protection locked="0"/>
    </xf>
    <xf numFmtId="49" fontId="6" fillId="6" borderId="12" xfId="0" applyFont="1" applyFill="1" applyBorder="1" applyAlignment="1" applyProtection="1">
      <alignment horizontal="center" vertical="center"/>
      <protection locked="0"/>
    </xf>
    <xf numFmtId="49" fontId="6" fillId="6" borderId="8" xfId="0" applyFont="1" applyFill="1" applyBorder="1" applyAlignment="1" applyProtection="1">
      <alignment horizontal="center" vertical="center"/>
      <protection locked="0"/>
    </xf>
    <xf numFmtId="49" fontId="6" fillId="6" borderId="6" xfId="0" applyFont="1" applyFill="1" applyBorder="1" applyAlignment="1" applyProtection="1">
      <alignment horizontal="center" vertical="center"/>
      <protection locked="0"/>
    </xf>
    <xf numFmtId="49" fontId="1" fillId="0" borderId="33" xfId="0" applyFont="1" applyBorder="1" applyAlignment="1" applyProtection="1">
      <alignment horizontal="center"/>
      <protection locked="0"/>
    </xf>
    <xf numFmtId="49" fontId="5" fillId="0" borderId="9" xfId="0" applyFont="1" applyBorder="1" applyAlignment="1" applyProtection="1">
      <alignment horizontal="center"/>
      <protection locked="0"/>
    </xf>
    <xf numFmtId="49" fontId="6" fillId="7" borderId="8" xfId="0" applyFont="1" applyFill="1" applyBorder="1" applyAlignment="1" applyProtection="1">
      <alignment horizontal="center"/>
      <protection locked="0"/>
    </xf>
    <xf numFmtId="49" fontId="5" fillId="0" borderId="14" xfId="0" applyFont="1" applyBorder="1" applyAlignment="1" applyProtection="1">
      <alignment horizontal="center"/>
      <protection locked="0"/>
    </xf>
    <xf numFmtId="49" fontId="5" fillId="0" borderId="15" xfId="0" applyFont="1" applyBorder="1" applyAlignment="1" applyProtection="1">
      <alignment horizontal="center"/>
      <protection locked="0"/>
    </xf>
    <xf numFmtId="49" fontId="5" fillId="0" borderId="9" xfId="0" applyFont="1" applyBorder="1" applyAlignment="1" applyProtection="1">
      <alignment horizontal="center" vertical="top"/>
      <protection locked="0"/>
    </xf>
    <xf numFmtId="49" fontId="6" fillId="7" borderId="3" xfId="0" applyFont="1" applyFill="1" applyBorder="1" applyAlignment="1" applyProtection="1">
      <alignment horizontal="center" vertical="top"/>
      <protection locked="0"/>
    </xf>
    <xf numFmtId="49" fontId="1" fillId="6" borderId="0" xfId="0" applyFont="1" applyFill="1" applyAlignment="1" applyProtection="1">
      <alignment horizontal="right" vertical="center" wrapText="1"/>
      <protection locked="0"/>
    </xf>
    <xf numFmtId="49" fontId="2" fillId="6" borderId="0" xfId="0" applyFont="1" applyFill="1" applyAlignment="1" applyProtection="1">
      <alignment horizontal="center" vertical="center" wrapText="1"/>
      <protection locked="0"/>
    </xf>
    <xf numFmtId="49" fontId="19" fillId="6" borderId="8" xfId="0" applyFont="1" applyFill="1" applyBorder="1" applyAlignment="1" applyProtection="1">
      <alignment horizontal="center" vertical="center"/>
      <protection locked="0"/>
    </xf>
    <xf numFmtId="49" fontId="5" fillId="0" borderId="3" xfId="0" applyFont="1" applyBorder="1" applyAlignment="1" applyProtection="1">
      <alignment horizontal="center"/>
      <protection locked="0"/>
    </xf>
    <xf numFmtId="49" fontId="5" fillId="0" borderId="0" xfId="0" applyFont="1" applyAlignment="1" applyProtection="1">
      <alignment horizontal="center"/>
      <protection locked="0"/>
    </xf>
    <xf numFmtId="49" fontId="6" fillId="7" borderId="0" xfId="0" applyFont="1" applyFill="1" applyAlignment="1" applyProtection="1">
      <alignment horizontal="center"/>
      <protection locked="0"/>
    </xf>
    <xf numFmtId="49" fontId="6" fillId="7" borderId="8" xfId="0" applyFont="1" applyFill="1" applyBorder="1" applyAlignment="1" applyProtection="1">
      <alignment horizontal="left"/>
      <protection locked="0"/>
    </xf>
    <xf numFmtId="49" fontId="1" fillId="6" borderId="2" xfId="0" applyFont="1" applyFill="1" applyBorder="1" applyAlignment="1" applyProtection="1">
      <alignment horizontal="left" vertical="center"/>
      <protection locked="0"/>
    </xf>
    <xf numFmtId="49" fontId="1" fillId="6" borderId="0" xfId="0" applyFont="1" applyFill="1" applyAlignment="1" applyProtection="1">
      <alignment horizontal="left" vertical="center"/>
      <protection locked="0"/>
    </xf>
    <xf numFmtId="49" fontId="1" fillId="6" borderId="0" xfId="0" applyFont="1" applyFill="1" applyAlignment="1" applyProtection="1">
      <alignment horizontal="center" vertical="center"/>
      <protection locked="0"/>
    </xf>
    <xf numFmtId="14" fontId="1" fillId="6" borderId="14" xfId="0" applyNumberFormat="1" applyFont="1" applyFill="1" applyBorder="1" applyAlignment="1" applyProtection="1">
      <alignment horizontal="center" vertical="center"/>
      <protection locked="0"/>
    </xf>
    <xf numFmtId="14" fontId="1" fillId="6" borderId="9" xfId="0" applyNumberFormat="1" applyFont="1" applyFill="1" applyBorder="1" applyAlignment="1" applyProtection="1">
      <alignment horizontal="center" vertical="center"/>
      <protection locked="0"/>
    </xf>
    <xf numFmtId="14" fontId="1" fillId="6" borderId="15" xfId="0" applyNumberFormat="1" applyFont="1" applyFill="1" applyBorder="1" applyAlignment="1" applyProtection="1">
      <alignment horizontal="center" vertical="center"/>
      <protection locked="0"/>
    </xf>
    <xf numFmtId="14" fontId="4" fillId="0" borderId="14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4" fontId="4" fillId="0" borderId="15" xfId="0" applyNumberFormat="1" applyFont="1" applyBorder="1" applyAlignment="1">
      <alignment horizontal="center"/>
    </xf>
    <xf numFmtId="49" fontId="1" fillId="6" borderId="4" xfId="0" applyFont="1" applyFill="1" applyBorder="1" applyAlignment="1" applyProtection="1">
      <alignment horizontal="center" vertical="center"/>
      <protection locked="0"/>
    </xf>
    <xf numFmtId="49" fontId="2" fillId="6" borderId="2" xfId="0" applyFont="1" applyFill="1" applyBorder="1" applyAlignment="1" applyProtection="1">
      <alignment horizontal="center" vertical="center" wrapText="1"/>
      <protection locked="0"/>
    </xf>
    <xf numFmtId="49" fontId="2" fillId="6" borderId="4" xfId="0" applyFont="1" applyFill="1" applyBorder="1" applyAlignment="1" applyProtection="1">
      <alignment horizontal="center" vertical="center" wrapText="1"/>
      <protection locked="0"/>
    </xf>
    <xf numFmtId="49" fontId="1" fillId="6" borderId="11" xfId="0" applyFont="1" applyFill="1" applyBorder="1" applyAlignment="1" applyProtection="1">
      <alignment horizontal="center" vertical="center" wrapText="1"/>
      <protection locked="0"/>
    </xf>
    <xf numFmtId="49" fontId="1" fillId="6" borderId="3" xfId="0" applyFont="1" applyFill="1" applyBorder="1" applyAlignment="1" applyProtection="1">
      <alignment horizontal="center" vertical="center" wrapText="1"/>
      <protection locked="0"/>
    </xf>
    <xf numFmtId="49" fontId="1" fillId="6" borderId="12" xfId="0" applyFont="1" applyFill="1" applyBorder="1" applyAlignment="1" applyProtection="1">
      <alignment horizontal="center" vertical="center" wrapText="1"/>
      <protection locked="0"/>
    </xf>
    <xf numFmtId="49" fontId="1" fillId="6" borderId="2" xfId="0" applyFont="1" applyFill="1" applyBorder="1" applyAlignment="1" applyProtection="1">
      <alignment horizontal="center" vertical="center" wrapText="1"/>
      <protection locked="0"/>
    </xf>
    <xf numFmtId="49" fontId="1" fillId="6" borderId="0" xfId="0" applyFont="1" applyFill="1" applyAlignment="1" applyProtection="1">
      <alignment horizontal="center" vertical="center" wrapText="1"/>
      <protection locked="0"/>
    </xf>
    <xf numFmtId="49" fontId="1" fillId="6" borderId="4" xfId="0" applyFont="1" applyFill="1" applyBorder="1" applyAlignment="1" applyProtection="1">
      <alignment horizontal="center" vertical="center" wrapText="1"/>
      <protection locked="0"/>
    </xf>
    <xf numFmtId="49" fontId="1" fillId="6" borderId="5" xfId="0" applyFont="1" applyFill="1" applyBorder="1" applyAlignment="1" applyProtection="1">
      <alignment horizontal="center" vertical="center" wrapText="1"/>
      <protection locked="0"/>
    </xf>
    <xf numFmtId="49" fontId="1" fillId="6" borderId="8" xfId="0" applyFont="1" applyFill="1" applyBorder="1" applyAlignment="1" applyProtection="1">
      <alignment horizontal="center" vertical="center" wrapText="1"/>
      <protection locked="0"/>
    </xf>
    <xf numFmtId="49" fontId="1" fillId="6" borderId="6" xfId="0" applyFont="1" applyFill="1" applyBorder="1" applyAlignment="1" applyProtection="1">
      <alignment horizontal="center" vertical="center" wrapText="1"/>
      <protection locked="0"/>
    </xf>
    <xf numFmtId="49" fontId="17" fillId="6" borderId="0" xfId="0" applyFont="1" applyFill="1" applyAlignment="1" applyProtection="1">
      <alignment horizontal="center" vertical="center"/>
      <protection locked="0"/>
    </xf>
    <xf numFmtId="14" fontId="1" fillId="0" borderId="0" xfId="0" applyNumberFormat="1" applyFont="1" applyAlignment="1" applyProtection="1">
      <alignment horizontal="center"/>
      <protection locked="0"/>
    </xf>
    <xf numFmtId="49" fontId="1" fillId="6" borderId="4" xfId="0" applyFont="1" applyFill="1" applyBorder="1" applyAlignment="1" applyProtection="1">
      <alignment horizontal="left" vertical="center"/>
      <protection locked="0"/>
    </xf>
    <xf numFmtId="49" fontId="1" fillId="6" borderId="14" xfId="0" applyFont="1" applyFill="1" applyBorder="1" applyAlignment="1" applyProtection="1">
      <alignment horizontal="center"/>
      <protection locked="0"/>
    </xf>
    <xf numFmtId="49" fontId="1" fillId="6" borderId="9" xfId="0" applyFont="1" applyFill="1" applyBorder="1" applyAlignment="1" applyProtection="1">
      <alignment horizontal="center"/>
      <protection locked="0"/>
    </xf>
    <xf numFmtId="49" fontId="1" fillId="6" borderId="15" xfId="0" applyFont="1" applyFill="1" applyBorder="1" applyAlignment="1" applyProtection="1">
      <alignment horizontal="center"/>
      <protection locked="0"/>
    </xf>
    <xf numFmtId="49" fontId="1" fillId="6" borderId="2" xfId="0" applyFont="1" applyFill="1" applyBorder="1" applyAlignment="1" applyProtection="1">
      <alignment horizontal="center" vertical="center"/>
      <protection locked="0"/>
    </xf>
    <xf numFmtId="49" fontId="19" fillId="6" borderId="0" xfId="0" applyFont="1" applyFill="1" applyAlignment="1" applyProtection="1">
      <alignment horizontal="center" vertical="center"/>
      <protection locked="0"/>
    </xf>
    <xf numFmtId="49" fontId="1" fillId="2" borderId="44" xfId="0" applyFont="1" applyFill="1" applyBorder="1" applyAlignment="1" applyProtection="1">
      <alignment horizontal="center" vertical="center" wrapText="1"/>
      <protection locked="0"/>
    </xf>
    <xf numFmtId="49" fontId="1" fillId="6" borderId="0" xfId="0" applyFont="1" applyFill="1" applyAlignment="1" applyProtection="1">
      <alignment horizontal="center"/>
      <protection locked="0"/>
    </xf>
    <xf numFmtId="20" fontId="1" fillId="6" borderId="45" xfId="0" applyNumberFormat="1" applyFont="1" applyFill="1" applyBorder="1" applyAlignment="1" applyProtection="1">
      <alignment horizontal="center"/>
      <protection locked="0"/>
    </xf>
    <xf numFmtId="20" fontId="1" fillId="6" borderId="19" xfId="0" applyNumberFormat="1" applyFont="1" applyFill="1" applyBorder="1" applyAlignment="1" applyProtection="1">
      <alignment horizontal="center"/>
      <protection locked="0"/>
    </xf>
    <xf numFmtId="49" fontId="5" fillId="6" borderId="0" xfId="0" applyFont="1" applyFill="1" applyAlignment="1" applyProtection="1">
      <alignment horizontal="center"/>
      <protection locked="0"/>
    </xf>
    <xf numFmtId="20" fontId="1" fillId="6" borderId="41" xfId="0" applyNumberFormat="1" applyFont="1" applyFill="1" applyBorder="1" applyAlignment="1" applyProtection="1">
      <alignment horizontal="center"/>
      <protection locked="0"/>
    </xf>
    <xf numFmtId="20" fontId="1" fillId="6" borderId="7" xfId="0" applyNumberFormat="1" applyFont="1" applyFill="1" applyBorder="1" applyAlignment="1" applyProtection="1">
      <alignment horizontal="center"/>
      <protection locked="0"/>
    </xf>
    <xf numFmtId="20" fontId="1" fillId="6" borderId="46" xfId="0" applyNumberFormat="1" applyFont="1" applyFill="1" applyBorder="1" applyAlignment="1" applyProtection="1">
      <alignment horizontal="center"/>
      <protection locked="0"/>
    </xf>
    <xf numFmtId="49" fontId="18" fillId="6" borderId="0" xfId="0" applyFont="1" applyFill="1" applyAlignment="1" applyProtection="1">
      <alignment horizontal="center" vertical="center"/>
      <protection locked="0"/>
    </xf>
    <xf numFmtId="20" fontId="1" fillId="6" borderId="34" xfId="0" applyNumberFormat="1" applyFont="1" applyFill="1" applyBorder="1" applyAlignment="1" applyProtection="1">
      <alignment horizontal="center"/>
      <protection locked="0"/>
    </xf>
    <xf numFmtId="20" fontId="1" fillId="6" borderId="1" xfId="0" applyNumberFormat="1" applyFont="1" applyFill="1" applyBorder="1" applyAlignment="1" applyProtection="1">
      <alignment horizontal="center"/>
      <protection locked="0"/>
    </xf>
    <xf numFmtId="0" fontId="1" fillId="6" borderId="14" xfId="0" applyNumberFormat="1" applyFont="1" applyFill="1" applyBorder="1" applyAlignment="1" applyProtection="1">
      <alignment horizontal="center" vertical="center"/>
      <protection locked="0"/>
    </xf>
    <xf numFmtId="49" fontId="5" fillId="6" borderId="3" xfId="0" applyFont="1" applyFill="1" applyBorder="1" applyAlignment="1" applyProtection="1">
      <alignment horizontal="center" vertical="center"/>
      <protection locked="0"/>
    </xf>
    <xf numFmtId="49" fontId="5" fillId="6" borderId="12" xfId="0" applyFont="1" applyFill="1" applyBorder="1" applyAlignment="1" applyProtection="1">
      <alignment horizontal="center" vertical="center"/>
      <protection locked="0"/>
    </xf>
    <xf numFmtId="49" fontId="5" fillId="6" borderId="8" xfId="0" applyFont="1" applyFill="1" applyBorder="1" applyAlignment="1" applyProtection="1">
      <alignment horizontal="center" vertical="center"/>
      <protection locked="0"/>
    </xf>
    <xf numFmtId="49" fontId="5" fillId="6" borderId="6" xfId="0" applyFont="1" applyFill="1" applyBorder="1" applyAlignment="1" applyProtection="1">
      <alignment horizontal="center" vertical="center"/>
      <protection locked="0"/>
    </xf>
    <xf numFmtId="20" fontId="1" fillId="6" borderId="38" xfId="0" applyNumberFormat="1" applyFont="1" applyFill="1" applyBorder="1" applyAlignment="1" applyProtection="1">
      <alignment horizontal="center"/>
      <protection locked="0"/>
    </xf>
    <xf numFmtId="46" fontId="4" fillId="0" borderId="14" xfId="0" applyNumberFormat="1" applyFont="1" applyBorder="1" applyAlignment="1">
      <alignment horizontal="center"/>
    </xf>
    <xf numFmtId="46" fontId="4" fillId="0" borderId="15" xfId="0" applyNumberFormat="1" applyFont="1" applyBorder="1" applyAlignment="1">
      <alignment horizontal="center"/>
    </xf>
    <xf numFmtId="20" fontId="1" fillId="6" borderId="47" xfId="0" applyNumberFormat="1" applyFont="1" applyFill="1" applyBorder="1" applyAlignment="1" applyProtection="1">
      <alignment horizontal="center"/>
      <protection locked="0"/>
    </xf>
    <xf numFmtId="20" fontId="1" fillId="6" borderId="20" xfId="0" applyNumberFormat="1" applyFont="1" applyFill="1" applyBorder="1" applyAlignment="1" applyProtection="1">
      <alignment horizontal="center"/>
      <protection locked="0"/>
    </xf>
    <xf numFmtId="20" fontId="1" fillId="6" borderId="48" xfId="0" applyNumberFormat="1" applyFont="1" applyFill="1" applyBorder="1" applyAlignment="1" applyProtection="1">
      <alignment horizontal="center"/>
      <protection locked="0"/>
    </xf>
    <xf numFmtId="20" fontId="1" fillId="6" borderId="0" xfId="0" applyNumberFormat="1" applyFont="1" applyFill="1" applyAlignment="1" applyProtection="1">
      <alignment horizontal="center"/>
      <protection locked="0"/>
    </xf>
    <xf numFmtId="49" fontId="5" fillId="6" borderId="42" xfId="0" applyFont="1" applyFill="1" applyBorder="1" applyAlignment="1" applyProtection="1">
      <alignment horizontal="center" wrapText="1"/>
      <protection locked="0"/>
    </xf>
    <xf numFmtId="49" fontId="5" fillId="6" borderId="17" xfId="0" applyFont="1" applyFill="1" applyBorder="1" applyAlignment="1" applyProtection="1">
      <alignment horizontal="center" wrapText="1"/>
      <protection locked="0"/>
    </xf>
    <xf numFmtId="49" fontId="5" fillId="6" borderId="43" xfId="0" applyFont="1" applyFill="1" applyBorder="1" applyAlignment="1" applyProtection="1">
      <alignment horizontal="center" wrapText="1"/>
      <protection locked="0"/>
    </xf>
    <xf numFmtId="49" fontId="5" fillId="6" borderId="24" xfId="0" applyFont="1" applyFill="1" applyBorder="1" applyAlignment="1" applyProtection="1">
      <alignment horizontal="center" wrapText="1"/>
      <protection locked="0"/>
    </xf>
    <xf numFmtId="49" fontId="5" fillId="6" borderId="24" xfId="0" applyFont="1" applyFill="1" applyBorder="1" applyAlignment="1" applyProtection="1">
      <alignment horizontal="center"/>
      <protection locked="0"/>
    </xf>
    <xf numFmtId="49" fontId="5" fillId="6" borderId="21" xfId="0" applyFont="1" applyFill="1" applyBorder="1" applyAlignment="1" applyProtection="1">
      <alignment horizontal="center"/>
      <protection locked="0"/>
    </xf>
    <xf numFmtId="49" fontId="5" fillId="6" borderId="4" xfId="0" applyFont="1" applyFill="1" applyBorder="1" applyAlignment="1" applyProtection="1">
      <alignment horizontal="center" vertical="center"/>
      <protection locked="0"/>
    </xf>
    <xf numFmtId="49" fontId="5" fillId="6" borderId="1" xfId="0" applyFont="1" applyFill="1" applyBorder="1" applyAlignment="1" applyProtection="1">
      <alignment horizontal="center" vertical="center"/>
      <protection locked="0"/>
    </xf>
    <xf numFmtId="49" fontId="5" fillId="6" borderId="15" xfId="0" applyFont="1" applyFill="1" applyBorder="1" applyAlignment="1" applyProtection="1">
      <alignment horizontal="center" vertical="center"/>
      <protection locked="0"/>
    </xf>
    <xf numFmtId="49" fontId="5" fillId="6" borderId="14" xfId="0" applyFont="1" applyFill="1" applyBorder="1" applyAlignment="1" applyProtection="1">
      <alignment horizontal="center" vertical="center" wrapText="1"/>
      <protection locked="0"/>
    </xf>
    <xf numFmtId="49" fontId="5" fillId="6" borderId="15" xfId="0" applyFont="1" applyFill="1" applyBorder="1" applyAlignment="1" applyProtection="1">
      <alignment horizontal="center" vertical="center" wrapText="1"/>
      <protection locked="0"/>
    </xf>
    <xf numFmtId="49" fontId="1" fillId="6" borderId="0" xfId="0" applyFont="1" applyFill="1" applyAlignment="1" applyProtection="1">
      <alignment horizontal="center" wrapText="1"/>
      <protection locked="0"/>
    </xf>
    <xf numFmtId="49" fontId="5" fillId="6" borderId="0" xfId="0" applyFont="1" applyFill="1" applyAlignment="1" applyProtection="1">
      <alignment horizontal="left" vertical="top" wrapText="1"/>
      <protection locked="0"/>
    </xf>
    <xf numFmtId="49" fontId="5" fillId="6" borderId="14" xfId="0" applyFont="1" applyFill="1" applyBorder="1" applyAlignment="1" applyProtection="1">
      <alignment horizontal="center" vertical="center"/>
      <protection locked="0"/>
    </xf>
    <xf numFmtId="49" fontId="5" fillId="6" borderId="9" xfId="0" applyFont="1" applyFill="1" applyBorder="1" applyAlignment="1" applyProtection="1">
      <alignment horizontal="center" vertical="center"/>
      <protection locked="0"/>
    </xf>
    <xf numFmtId="49" fontId="5" fillId="6" borderId="14" xfId="0" applyFont="1" applyFill="1" applyBorder="1" applyAlignment="1" applyProtection="1">
      <alignment horizontal="center"/>
      <protection locked="0"/>
    </xf>
    <xf numFmtId="49" fontId="5" fillId="6" borderId="9" xfId="0" applyFont="1" applyFill="1" applyBorder="1" applyAlignment="1" applyProtection="1">
      <alignment horizontal="center"/>
      <protection locked="0"/>
    </xf>
    <xf numFmtId="49" fontId="5" fillId="6" borderId="15" xfId="0" applyFont="1" applyFill="1" applyBorder="1" applyAlignment="1" applyProtection="1">
      <alignment horizontal="center"/>
      <protection locked="0"/>
    </xf>
    <xf numFmtId="49" fontId="1" fillId="6" borderId="0" xfId="0" applyFont="1" applyFill="1" applyAlignment="1" applyProtection="1">
      <alignment horizontal="right" vertical="center"/>
      <protection locked="0"/>
    </xf>
    <xf numFmtId="49" fontId="1" fillId="6" borderId="0" xfId="0" applyFont="1" applyFill="1" applyAlignment="1" applyProtection="1">
      <alignment horizontal="left"/>
      <protection locked="0"/>
    </xf>
    <xf numFmtId="49" fontId="1" fillId="6" borderId="8" xfId="0" applyFont="1" applyFill="1" applyBorder="1" applyAlignment="1" applyProtection="1">
      <alignment horizontal="left"/>
      <protection locked="0"/>
    </xf>
    <xf numFmtId="49" fontId="2" fillId="6" borderId="2" xfId="0" applyFont="1" applyFill="1" applyBorder="1" applyAlignment="1" applyProtection="1">
      <alignment horizontal="center" vertical="center" wrapText="1" shrinkToFit="1"/>
      <protection locked="0"/>
    </xf>
    <xf numFmtId="49" fontId="2" fillId="6" borderId="0" xfId="0" applyFont="1" applyFill="1" applyAlignment="1" applyProtection="1">
      <alignment horizontal="center" vertical="center" shrinkToFit="1"/>
      <protection locked="0"/>
    </xf>
    <xf numFmtId="49" fontId="2" fillId="6" borderId="4" xfId="0" applyFont="1" applyFill="1" applyBorder="1" applyAlignment="1" applyProtection="1">
      <alignment horizontal="center" vertical="center" shrinkToFit="1"/>
      <protection locked="0"/>
    </xf>
    <xf numFmtId="49" fontId="1" fillId="6" borderId="14" xfId="0" applyFont="1" applyFill="1" applyBorder="1" applyAlignment="1" applyProtection="1">
      <alignment horizontal="left"/>
      <protection locked="0"/>
    </xf>
    <xf numFmtId="49" fontId="1" fillId="6" borderId="9" xfId="0" applyFont="1" applyFill="1" applyBorder="1" applyAlignment="1" applyProtection="1">
      <alignment horizontal="left"/>
      <protection locked="0"/>
    </xf>
    <xf numFmtId="49" fontId="1" fillId="6" borderId="15" xfId="0" applyFont="1" applyFill="1" applyBorder="1" applyAlignment="1" applyProtection="1">
      <alignment horizontal="left"/>
      <protection locked="0"/>
    </xf>
    <xf numFmtId="49" fontId="1" fillId="6" borderId="8" xfId="0" applyFont="1" applyFill="1" applyBorder="1" applyAlignment="1" applyProtection="1">
      <alignment horizontal="center"/>
      <protection locked="0"/>
    </xf>
    <xf numFmtId="49" fontId="1" fillId="0" borderId="14" xfId="0" applyFont="1" applyBorder="1" applyAlignment="1" applyProtection="1">
      <alignment horizontal="center"/>
      <protection locked="0"/>
    </xf>
    <xf numFmtId="49" fontId="1" fillId="0" borderId="9" xfId="0" applyFont="1" applyBorder="1" applyAlignment="1" applyProtection="1">
      <alignment horizontal="center"/>
      <protection locked="0"/>
    </xf>
    <xf numFmtId="49" fontId="1" fillId="0" borderId="15" xfId="0" applyFont="1" applyBorder="1" applyAlignment="1" applyProtection="1">
      <alignment horizontal="center"/>
      <protection locked="0"/>
    </xf>
    <xf numFmtId="49" fontId="1" fillId="0" borderId="0" xfId="0" applyFont="1" applyAlignment="1" applyProtection="1">
      <alignment horizontal="left"/>
      <protection locked="0"/>
    </xf>
    <xf numFmtId="49" fontId="20" fillId="2" borderId="2" xfId="0" applyFont="1" applyFill="1" applyBorder="1" applyAlignment="1" applyProtection="1">
      <alignment horizontal="center"/>
      <protection locked="0"/>
    </xf>
    <xf numFmtId="49" fontId="20" fillId="2" borderId="0" xfId="0" applyFont="1" applyFill="1" applyAlignment="1" applyProtection="1">
      <alignment horizontal="center"/>
      <protection locked="0"/>
    </xf>
    <xf numFmtId="49" fontId="20" fillId="2" borderId="4" xfId="0" applyFont="1" applyFill="1" applyBorder="1" applyAlignment="1" applyProtection="1">
      <alignment horizontal="center"/>
      <protection locked="0"/>
    </xf>
    <xf numFmtId="0" fontId="13" fillId="6" borderId="14" xfId="0" applyNumberFormat="1" applyFont="1" applyFill="1" applyBorder="1" applyAlignment="1" applyProtection="1">
      <alignment horizontal="center"/>
      <protection locked="0"/>
    </xf>
    <xf numFmtId="0" fontId="13" fillId="6" borderId="9" xfId="0" applyNumberFormat="1" applyFont="1" applyFill="1" applyBorder="1" applyAlignment="1" applyProtection="1">
      <alignment horizontal="center"/>
      <protection locked="0"/>
    </xf>
    <xf numFmtId="0" fontId="13" fillId="6" borderId="15" xfId="0" applyNumberFormat="1" applyFont="1" applyFill="1" applyBorder="1" applyAlignment="1" applyProtection="1">
      <alignment horizontal="center"/>
      <protection locked="0"/>
    </xf>
    <xf numFmtId="49" fontId="3" fillId="0" borderId="14" xfId="0" applyFont="1" applyBorder="1" applyAlignment="1">
      <alignment horizontal="right"/>
    </xf>
    <xf numFmtId="49" fontId="3" fillId="0" borderId="9" xfId="0" applyFont="1" applyBorder="1" applyAlignment="1">
      <alignment horizontal="right"/>
    </xf>
    <xf numFmtId="49" fontId="3" fillId="0" borderId="15" xfId="0" applyFont="1" applyBorder="1" applyAlignment="1">
      <alignment horizontal="right"/>
    </xf>
    <xf numFmtId="165" fontId="27" fillId="3" borderId="1" xfId="0" applyNumberFormat="1" applyFont="1" applyFill="1" applyBorder="1" applyAlignment="1">
      <alignment horizontal="center"/>
    </xf>
    <xf numFmtId="49" fontId="4" fillId="0" borderId="14" xfId="0" applyFont="1" applyBorder="1" applyAlignment="1" applyProtection="1">
      <alignment horizontal="center"/>
      <protection locked="0"/>
    </xf>
    <xf numFmtId="49" fontId="4" fillId="0" borderId="15" xfId="0" applyFont="1" applyBorder="1" applyAlignment="1" applyProtection="1">
      <alignment horizontal="center"/>
      <protection locked="0"/>
    </xf>
    <xf numFmtId="49" fontId="19" fillId="11" borderId="14" xfId="0" applyFont="1" applyFill="1" applyBorder="1" applyAlignment="1" applyProtection="1">
      <alignment horizontal="center" vertical="center"/>
      <protection locked="0"/>
    </xf>
    <xf numFmtId="49" fontId="19" fillId="11" borderId="9" xfId="0" applyFont="1" applyFill="1" applyBorder="1" applyAlignment="1" applyProtection="1">
      <alignment horizontal="center" vertical="center"/>
      <protection locked="0"/>
    </xf>
    <xf numFmtId="49" fontId="19" fillId="11" borderId="15" xfId="0" applyFont="1" applyFill="1" applyBorder="1" applyAlignment="1" applyProtection="1">
      <alignment horizontal="center" vertical="center"/>
      <protection locked="0"/>
    </xf>
    <xf numFmtId="165" fontId="27" fillId="0" borderId="1" xfId="0" applyNumberFormat="1" applyFont="1" applyBorder="1" applyAlignment="1">
      <alignment horizontal="center"/>
    </xf>
    <xf numFmtId="20" fontId="31" fillId="0" borderId="14" xfId="0" applyNumberFormat="1" applyFont="1" applyBorder="1" applyAlignment="1" applyProtection="1">
      <alignment horizontal="center"/>
      <protection locked="0"/>
    </xf>
    <xf numFmtId="20" fontId="31" fillId="0" borderId="15" xfId="0" applyNumberFormat="1" applyFont="1" applyBorder="1" applyAlignment="1" applyProtection="1">
      <alignment horizontal="center"/>
      <protection locked="0"/>
    </xf>
    <xf numFmtId="49" fontId="28" fillId="4" borderId="1" xfId="0" applyFont="1" applyFill="1" applyBorder="1" applyAlignment="1">
      <alignment horizontal="center" vertical="center" wrapText="1"/>
    </xf>
    <xf numFmtId="49" fontId="28" fillId="4" borderId="1" xfId="0" applyFont="1" applyFill="1" applyBorder="1" applyAlignment="1">
      <alignment horizontal="center"/>
    </xf>
    <xf numFmtId="49" fontId="4" fillId="6" borderId="0" xfId="0" applyFont="1" applyFill="1" applyAlignment="1" applyProtection="1">
      <alignment horizontal="left"/>
      <protection locked="0"/>
    </xf>
    <xf numFmtId="49" fontId="4" fillId="6" borderId="8" xfId="0" applyFont="1" applyFill="1" applyBorder="1" applyAlignment="1" applyProtection="1">
      <alignment horizontal="left"/>
      <protection locked="0"/>
    </xf>
    <xf numFmtId="49" fontId="13" fillId="6" borderId="14" xfId="0" applyFont="1" applyFill="1" applyBorder="1" applyAlignment="1" applyProtection="1">
      <alignment horizontal="left"/>
      <protection locked="0"/>
    </xf>
    <xf numFmtId="49" fontId="13" fillId="6" borderId="9" xfId="0" applyFont="1" applyFill="1" applyBorder="1" applyAlignment="1" applyProtection="1">
      <alignment horizontal="left"/>
      <protection locked="0"/>
    </xf>
    <xf numFmtId="49" fontId="13" fillId="6" borderId="15" xfId="0" applyFont="1" applyFill="1" applyBorder="1" applyAlignment="1" applyProtection="1">
      <alignment horizontal="left"/>
      <protection locked="0"/>
    </xf>
    <xf numFmtId="49" fontId="6" fillId="6" borderId="3" xfId="0" applyFont="1" applyFill="1" applyBorder="1" applyAlignment="1" applyProtection="1">
      <alignment horizontal="center" wrapText="1"/>
      <protection locked="0"/>
    </xf>
    <xf numFmtId="49" fontId="1" fillId="0" borderId="0" xfId="0" applyFont="1" applyAlignment="1" applyProtection="1">
      <alignment horizontal="center"/>
      <protection locked="0"/>
    </xf>
    <xf numFmtId="49" fontId="3" fillId="0" borderId="14" xfId="0" applyFont="1" applyBorder="1" applyAlignment="1" applyProtection="1">
      <alignment horizontal="center"/>
      <protection locked="0"/>
    </xf>
    <xf numFmtId="49" fontId="3" fillId="0" borderId="9" xfId="0" applyFont="1" applyBorder="1" applyAlignment="1" applyProtection="1">
      <alignment horizontal="center"/>
      <protection locked="0"/>
    </xf>
    <xf numFmtId="49" fontId="3" fillId="0" borderId="15" xfId="0" applyFont="1" applyBorder="1" applyAlignment="1" applyProtection="1">
      <alignment horizontal="center"/>
      <protection locked="0"/>
    </xf>
    <xf numFmtId="49" fontId="4" fillId="8" borderId="0" xfId="0" applyFont="1" applyFill="1" applyAlignment="1" applyProtection="1">
      <alignment horizontal="center"/>
      <protection locked="0"/>
    </xf>
    <xf numFmtId="49" fontId="13" fillId="6" borderId="0" xfId="0" applyFont="1" applyFill="1" applyAlignment="1" applyProtection="1">
      <alignment horizontal="right" vertical="center" wrapText="1"/>
      <protection locked="0"/>
    </xf>
    <xf numFmtId="49" fontId="13" fillId="6" borderId="2" xfId="0" applyFont="1" applyFill="1" applyBorder="1" applyAlignment="1" applyProtection="1">
      <alignment horizontal="center" vertical="center" wrapText="1"/>
      <protection locked="0"/>
    </xf>
    <xf numFmtId="49" fontId="13" fillId="6" borderId="0" xfId="0" applyFont="1" applyFill="1" applyAlignment="1" applyProtection="1">
      <alignment horizontal="center" vertical="center" wrapText="1"/>
      <protection locked="0"/>
    </xf>
    <xf numFmtId="49" fontId="13" fillId="6" borderId="2" xfId="0" applyFont="1" applyFill="1" applyBorder="1" applyAlignment="1" applyProtection="1">
      <alignment horizontal="left" vertical="center"/>
      <protection locked="0"/>
    </xf>
    <xf numFmtId="49" fontId="13" fillId="6" borderId="0" xfId="0" applyFont="1" applyFill="1" applyAlignment="1" applyProtection="1">
      <alignment horizontal="left" vertical="center"/>
      <protection locked="0"/>
    </xf>
    <xf numFmtId="49" fontId="2" fillId="6" borderId="2" xfId="0" applyFont="1" applyFill="1" applyBorder="1" applyAlignment="1" applyProtection="1">
      <alignment horizontal="center" vertical="center"/>
      <protection locked="0"/>
    </xf>
    <xf numFmtId="49" fontId="2" fillId="6" borderId="0" xfId="0" applyFont="1" applyFill="1" applyAlignment="1" applyProtection="1">
      <alignment horizontal="center" vertical="center"/>
      <protection locked="0"/>
    </xf>
    <xf numFmtId="49" fontId="2" fillId="6" borderId="4" xfId="0" applyFont="1" applyFill="1" applyBorder="1" applyAlignment="1" applyProtection="1">
      <alignment horizontal="center" vertical="center"/>
      <protection locked="0"/>
    </xf>
    <xf numFmtId="49" fontId="1" fillId="6" borderId="14" xfId="0" applyFont="1" applyFill="1" applyBorder="1" applyAlignment="1" applyProtection="1">
      <alignment horizontal="center" vertical="center" wrapText="1"/>
      <protection locked="0"/>
    </xf>
    <xf numFmtId="49" fontId="1" fillId="6" borderId="9" xfId="0" applyFont="1" applyFill="1" applyBorder="1" applyAlignment="1" applyProtection="1">
      <alignment horizontal="center" vertical="center" wrapText="1"/>
      <protection locked="0"/>
    </xf>
    <xf numFmtId="49" fontId="1" fillId="6" borderId="15" xfId="0" applyFont="1" applyFill="1" applyBorder="1" applyAlignment="1" applyProtection="1">
      <alignment horizontal="center" vertical="center" wrapText="1"/>
      <protection locked="0"/>
    </xf>
    <xf numFmtId="14" fontId="4" fillId="6" borderId="14" xfId="0" applyNumberFormat="1" applyFont="1" applyFill="1" applyBorder="1" applyAlignment="1" applyProtection="1">
      <alignment horizontal="center" vertical="center"/>
      <protection locked="0"/>
    </xf>
    <xf numFmtId="14" fontId="4" fillId="6" borderId="9" xfId="0" applyNumberFormat="1" applyFont="1" applyFill="1" applyBorder="1" applyAlignment="1" applyProtection="1">
      <alignment horizontal="center" vertical="center"/>
      <protection locked="0"/>
    </xf>
    <xf numFmtId="14" fontId="4" fillId="6" borderId="15" xfId="0" applyNumberFormat="1" applyFont="1" applyFill="1" applyBorder="1" applyAlignment="1" applyProtection="1">
      <alignment horizontal="center" vertical="center"/>
      <protection locked="0"/>
    </xf>
    <xf numFmtId="49" fontId="13" fillId="6" borderId="2" xfId="0" applyFont="1" applyFill="1" applyBorder="1" applyAlignment="1" applyProtection="1">
      <alignment horizontal="left" vertical="center" wrapText="1"/>
      <protection locked="0"/>
    </xf>
    <xf numFmtId="49" fontId="13" fillId="6" borderId="0" xfId="0" applyFont="1" applyFill="1" applyAlignment="1" applyProtection="1">
      <alignment horizontal="left" vertical="center" wrapText="1"/>
      <protection locked="0"/>
    </xf>
    <xf numFmtId="49" fontId="4" fillId="6" borderId="0" xfId="0" applyFont="1" applyFill="1" applyAlignment="1" applyProtection="1">
      <alignment horizontal="left" wrapText="1"/>
      <protection locked="0"/>
    </xf>
    <xf numFmtId="49" fontId="13" fillId="6" borderId="14" xfId="0" applyFont="1" applyFill="1" applyBorder="1" applyAlignment="1" applyProtection="1">
      <alignment horizontal="center"/>
      <protection locked="0"/>
    </xf>
    <xf numFmtId="49" fontId="13" fillId="6" borderId="9" xfId="0" applyFont="1" applyFill="1" applyBorder="1" applyAlignment="1" applyProtection="1">
      <alignment horizontal="center"/>
      <protection locked="0"/>
    </xf>
    <xf numFmtId="49" fontId="13" fillId="6" borderId="15" xfId="0" applyFont="1" applyFill="1" applyBorder="1" applyAlignment="1" applyProtection="1">
      <alignment horizontal="center"/>
      <protection locked="0"/>
    </xf>
    <xf numFmtId="1" fontId="3" fillId="9" borderId="14" xfId="0" applyNumberFormat="1" applyFont="1" applyFill="1" applyBorder="1" applyAlignment="1">
      <alignment horizontal="center"/>
    </xf>
    <xf numFmtId="1" fontId="3" fillId="9" borderId="9" xfId="0" applyNumberFormat="1" applyFont="1" applyFill="1" applyBorder="1" applyAlignment="1">
      <alignment horizontal="center"/>
    </xf>
    <xf numFmtId="1" fontId="3" fillId="9" borderId="15" xfId="0" applyNumberFormat="1" applyFont="1" applyFill="1" applyBorder="1" applyAlignment="1">
      <alignment horizontal="center"/>
    </xf>
    <xf numFmtId="0" fontId="4" fillId="6" borderId="2" xfId="0" applyNumberFormat="1" applyFont="1" applyFill="1" applyBorder="1" applyAlignment="1" applyProtection="1">
      <alignment horizontal="right"/>
      <protection locked="0"/>
    </xf>
    <xf numFmtId="0" fontId="4" fillId="6" borderId="0" xfId="0" applyNumberFormat="1" applyFont="1" applyFill="1" applyAlignment="1" applyProtection="1">
      <alignment horizontal="right"/>
      <protection locked="0"/>
    </xf>
    <xf numFmtId="49" fontId="8" fillId="6" borderId="2" xfId="0" applyFont="1" applyFill="1" applyBorder="1" applyAlignment="1" applyProtection="1">
      <alignment horizontal="right" vertical="center"/>
      <protection locked="0"/>
    </xf>
    <xf numFmtId="49" fontId="8" fillId="6" borderId="0" xfId="0" applyFont="1" applyFill="1" applyAlignment="1" applyProtection="1">
      <alignment horizontal="right" vertical="center"/>
      <protection locked="0"/>
    </xf>
    <xf numFmtId="49" fontId="8" fillId="6" borderId="4" xfId="0" applyFont="1" applyFill="1" applyBorder="1" applyAlignment="1" applyProtection="1">
      <alignment horizontal="right" vertical="center"/>
      <protection locked="0"/>
    </xf>
    <xf numFmtId="14" fontId="3" fillId="9" borderId="14" xfId="0" applyNumberFormat="1" applyFont="1" applyFill="1" applyBorder="1" applyAlignment="1">
      <alignment horizontal="center"/>
    </xf>
    <xf numFmtId="14" fontId="3" fillId="9" borderId="9" xfId="0" applyNumberFormat="1" applyFont="1" applyFill="1" applyBorder="1" applyAlignment="1">
      <alignment horizontal="center"/>
    </xf>
    <xf numFmtId="14" fontId="3" fillId="9" borderId="15" xfId="0" applyNumberFormat="1" applyFont="1" applyFill="1" applyBorder="1" applyAlignment="1">
      <alignment horizontal="center"/>
    </xf>
    <xf numFmtId="49" fontId="4" fillId="8" borderId="8" xfId="0" applyFont="1" applyFill="1" applyBorder="1" applyAlignment="1" applyProtection="1">
      <alignment horizontal="center"/>
      <protection locked="0"/>
    </xf>
    <xf numFmtId="49" fontId="4" fillId="0" borderId="0" xfId="0" applyFont="1" applyAlignment="1" applyProtection="1">
      <alignment horizontal="center"/>
      <protection locked="0"/>
    </xf>
    <xf numFmtId="49" fontId="4" fillId="0" borderId="4" xfId="0" applyFont="1" applyBorder="1" applyAlignment="1" applyProtection="1">
      <alignment horizontal="center"/>
      <protection locked="0"/>
    </xf>
    <xf numFmtId="49" fontId="9" fillId="6" borderId="0" xfId="0" applyFont="1" applyFill="1" applyAlignment="1" applyProtection="1">
      <alignment horizontal="center" vertical="center"/>
      <protection locked="0"/>
    </xf>
    <xf numFmtId="49" fontId="8" fillId="6" borderId="0" xfId="0" applyFont="1" applyFill="1" applyAlignment="1" applyProtection="1">
      <alignment horizontal="center" vertical="center"/>
      <protection locked="0"/>
    </xf>
    <xf numFmtId="49" fontId="28" fillId="5" borderId="1" xfId="0" applyFont="1" applyFill="1" applyBorder="1" applyAlignment="1">
      <alignment horizontal="center"/>
    </xf>
    <xf numFmtId="49" fontId="4" fillId="6" borderId="0" xfId="0" applyFont="1" applyFill="1" applyAlignment="1" applyProtection="1">
      <alignment horizontal="center" wrapText="1"/>
      <protection locked="0"/>
    </xf>
    <xf numFmtId="49" fontId="13" fillId="0" borderId="14" xfId="0" applyFont="1" applyBorder="1" applyAlignment="1" applyProtection="1">
      <alignment horizontal="center"/>
      <protection locked="0"/>
    </xf>
    <xf numFmtId="49" fontId="13" fillId="0" borderId="9" xfId="0" applyFont="1" applyBorder="1" applyAlignment="1" applyProtection="1">
      <alignment horizontal="center"/>
      <protection locked="0"/>
    </xf>
    <xf numFmtId="49" fontId="13" fillId="0" borderId="15" xfId="0" applyFont="1" applyBorder="1" applyAlignment="1" applyProtection="1">
      <alignment horizontal="center"/>
      <protection locked="0"/>
    </xf>
    <xf numFmtId="49" fontId="13" fillId="6" borderId="14" xfId="0" quotePrefix="1" applyFont="1" applyFill="1" applyBorder="1" applyAlignment="1" applyProtection="1">
      <alignment horizontal="center" vertical="center"/>
      <protection locked="0"/>
    </xf>
    <xf numFmtId="49" fontId="13" fillId="6" borderId="9" xfId="0" quotePrefix="1" applyFont="1" applyFill="1" applyBorder="1" applyAlignment="1" applyProtection="1">
      <alignment horizontal="center" vertical="center"/>
      <protection locked="0"/>
    </xf>
    <xf numFmtId="49" fontId="13" fillId="6" borderId="15" xfId="0" quotePrefix="1" applyFont="1" applyFill="1" applyBorder="1" applyAlignment="1" applyProtection="1">
      <alignment horizontal="center" vertical="center"/>
      <protection locked="0"/>
    </xf>
    <xf numFmtId="49" fontId="4" fillId="6" borderId="2" xfId="0" applyFont="1" applyFill="1" applyBorder="1" applyAlignment="1" applyProtection="1">
      <alignment horizontal="right" vertical="center" wrapText="1"/>
      <protection locked="0"/>
    </xf>
    <xf numFmtId="49" fontId="4" fillId="6" borderId="0" xfId="0" applyFont="1" applyFill="1" applyAlignment="1" applyProtection="1">
      <alignment horizontal="right" vertical="center" wrapText="1"/>
      <protection locked="0"/>
    </xf>
    <xf numFmtId="49" fontId="4" fillId="6" borderId="4" xfId="0" applyFont="1" applyFill="1" applyBorder="1" applyAlignment="1" applyProtection="1">
      <alignment horizontal="right" vertical="center" wrapText="1"/>
      <protection locked="0"/>
    </xf>
    <xf numFmtId="49" fontId="7" fillId="2" borderId="14" xfId="0" applyFont="1" applyFill="1" applyBorder="1" applyAlignment="1" applyProtection="1">
      <alignment horizontal="center"/>
      <protection locked="0"/>
    </xf>
    <xf numFmtId="49" fontId="7" fillId="2" borderId="15" xfId="0" applyFont="1" applyFill="1" applyBorder="1" applyAlignment="1" applyProtection="1">
      <alignment horizontal="center"/>
      <protection locked="0"/>
    </xf>
    <xf numFmtId="49" fontId="24" fillId="11" borderId="8" xfId="0" applyFont="1" applyFill="1" applyBorder="1" applyAlignment="1" applyProtection="1">
      <alignment horizontal="center" vertical="center"/>
      <protection locked="0"/>
    </xf>
    <xf numFmtId="49" fontId="24" fillId="11" borderId="2" xfId="0" applyFont="1" applyFill="1" applyBorder="1" applyAlignment="1" applyProtection="1">
      <alignment horizontal="center" vertical="center"/>
      <protection locked="0"/>
    </xf>
    <xf numFmtId="49" fontId="24" fillId="11" borderId="0" xfId="0" applyFont="1" applyFill="1" applyAlignment="1" applyProtection="1">
      <alignment horizontal="center" vertical="center"/>
      <protection locked="0"/>
    </xf>
    <xf numFmtId="49" fontId="24" fillId="11" borderId="4" xfId="0" applyFont="1" applyFill="1" applyBorder="1" applyAlignment="1" applyProtection="1">
      <alignment horizontal="center" vertical="center"/>
      <protection locked="0"/>
    </xf>
    <xf numFmtId="49" fontId="19" fillId="11" borderId="8" xfId="0" applyFont="1" applyFill="1" applyBorder="1" applyAlignment="1" applyProtection="1">
      <alignment horizontal="center" vertical="center"/>
      <protection locked="0"/>
    </xf>
    <xf numFmtId="49" fontId="4" fillId="6" borderId="8" xfId="0" applyFont="1" applyFill="1" applyBorder="1" applyAlignment="1" applyProtection="1">
      <alignment horizontal="center"/>
      <protection locked="0"/>
    </xf>
    <xf numFmtId="49" fontId="6" fillId="6" borderId="14" xfId="0" applyFont="1" applyFill="1" applyBorder="1" applyAlignment="1" applyProtection="1">
      <alignment horizontal="center"/>
      <protection locked="0"/>
    </xf>
    <xf numFmtId="49" fontId="6" fillId="6" borderId="9" xfId="0" applyFont="1" applyFill="1" applyBorder="1" applyAlignment="1" applyProtection="1">
      <alignment horizontal="center"/>
      <protection locked="0"/>
    </xf>
    <xf numFmtId="49" fontId="6" fillId="6" borderId="15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BN110"/>
  <sheetViews>
    <sheetView showGridLines="0" showZeros="0" tabSelected="1" view="pageBreakPreview" zoomScale="85" zoomScaleNormal="75" zoomScaleSheetLayoutView="85" workbookViewId="0">
      <selection activeCell="N69" sqref="N69:O75"/>
    </sheetView>
  </sheetViews>
  <sheetFormatPr defaultColWidth="2.6640625" defaultRowHeight="13.2"/>
  <cols>
    <col min="1" max="1" width="1.33203125" style="31" customWidth="1"/>
    <col min="2" max="2" width="1.109375" style="31" customWidth="1"/>
    <col min="3" max="3" width="1.44140625" style="31" customWidth="1"/>
    <col min="4" max="4" width="4.88671875" style="31" customWidth="1"/>
    <col min="5" max="5" width="4.109375" style="31" customWidth="1"/>
    <col min="6" max="6" width="10.6640625" style="31" customWidth="1"/>
    <col min="7" max="7" width="4.88671875" style="31" customWidth="1"/>
    <col min="8" max="8" width="3.88671875" style="31" customWidth="1"/>
    <col min="9" max="9" width="4.88671875" style="31" customWidth="1"/>
    <col min="10" max="10" width="3.88671875" style="31" customWidth="1"/>
    <col min="11" max="11" width="2.44140625" style="31" customWidth="1"/>
    <col min="12" max="12" width="5.6640625" style="31" customWidth="1"/>
    <col min="13" max="13" width="5.88671875" style="31" customWidth="1"/>
    <col min="14" max="14" width="6.6640625" style="31" customWidth="1"/>
    <col min="15" max="15" width="5.88671875" style="31" customWidth="1"/>
    <col min="16" max="16" width="4.33203125" style="31" customWidth="1"/>
    <col min="17" max="17" width="8.6640625" style="31" customWidth="1"/>
    <col min="18" max="18" width="3.6640625" style="31" customWidth="1"/>
    <col min="19" max="19" width="8.33203125" style="31" customWidth="1"/>
    <col min="20" max="20" width="7.5546875" style="31" customWidth="1"/>
    <col min="21" max="21" width="5.109375" style="31" customWidth="1"/>
    <col min="22" max="22" width="4.5546875" style="31" customWidth="1"/>
    <col min="23" max="23" width="5.5546875" style="31" customWidth="1"/>
    <col min="24" max="24" width="5.6640625" style="31" customWidth="1"/>
    <col min="25" max="25" width="3.88671875" style="31" customWidth="1"/>
    <col min="26" max="26" width="2.109375" style="31" customWidth="1"/>
    <col min="27" max="27" width="1" style="31" customWidth="1"/>
    <col min="28" max="28" width="10.44140625" style="31" customWidth="1"/>
    <col min="29" max="29" width="2.109375" style="31" customWidth="1"/>
    <col min="30" max="30" width="8.6640625" style="31" customWidth="1"/>
    <col min="31" max="31" width="0.88671875" style="31" customWidth="1"/>
    <col min="32" max="32" width="7.5546875" style="31" customWidth="1"/>
    <col min="33" max="33" width="1.5546875" style="31" customWidth="1"/>
    <col min="34" max="34" width="5.33203125" style="31" customWidth="1"/>
    <col min="35" max="35" width="4" style="31" customWidth="1"/>
    <col min="36" max="36" width="7.33203125" style="31" customWidth="1"/>
    <col min="37" max="37" width="5.5546875" style="31" customWidth="1"/>
    <col min="38" max="38" width="2" style="31" customWidth="1"/>
    <col min="39" max="40" width="6.33203125" style="31" customWidth="1"/>
    <col min="41" max="41" width="6.109375" style="31" customWidth="1"/>
    <col min="42" max="42" width="3.88671875" style="31" customWidth="1"/>
    <col min="43" max="43" width="4.33203125" style="31" customWidth="1"/>
    <col min="44" max="44" width="2.33203125" style="31" customWidth="1"/>
    <col min="45" max="45" width="1.5546875" style="31" customWidth="1"/>
    <col min="46" max="48" width="2.6640625" style="31"/>
    <col min="49" max="49" width="5.5546875" style="31" bestFit="1" customWidth="1"/>
    <col min="50" max="50" width="2.6640625" style="31"/>
    <col min="51" max="51" width="5.5546875" style="31" bestFit="1" customWidth="1"/>
    <col min="52" max="52" width="2.6640625" style="31"/>
    <col min="53" max="53" width="8.5546875" style="31" bestFit="1" customWidth="1"/>
    <col min="54" max="68" width="0" style="31" hidden="1" customWidth="1"/>
    <col min="69" max="16384" width="2.6640625" style="31"/>
  </cols>
  <sheetData>
    <row r="1" spans="1:45" ht="8.25" customHeight="1" thickBot="1">
      <c r="A1" s="253"/>
      <c r="B1" s="253"/>
      <c r="C1" s="253"/>
      <c r="D1" s="254" t="s">
        <v>5</v>
      </c>
      <c r="E1" s="255" t="s">
        <v>5</v>
      </c>
      <c r="F1" s="255"/>
      <c r="G1" s="255"/>
      <c r="H1" s="255"/>
      <c r="I1" s="255"/>
      <c r="J1" s="255"/>
      <c r="K1" s="254" t="s">
        <v>5</v>
      </c>
      <c r="L1" s="255"/>
      <c r="M1" s="255"/>
      <c r="N1" s="255"/>
      <c r="O1" s="255"/>
      <c r="P1" s="255"/>
      <c r="Q1" s="255"/>
      <c r="R1" s="256"/>
      <c r="S1" s="255"/>
      <c r="U1" s="487"/>
      <c r="V1" s="487"/>
      <c r="W1" s="487"/>
      <c r="X1" s="487"/>
      <c r="Y1" s="487"/>
      <c r="Z1" s="487"/>
      <c r="AA1" s="487"/>
      <c r="AB1" s="487"/>
      <c r="AC1" s="487"/>
      <c r="AD1" s="487"/>
      <c r="AE1" s="487"/>
      <c r="AF1" s="487"/>
      <c r="AG1" s="487"/>
      <c r="AH1" s="487"/>
      <c r="AI1" s="487"/>
      <c r="AJ1" s="487"/>
      <c r="AK1" s="487"/>
      <c r="AL1" s="487"/>
      <c r="AM1" s="487"/>
      <c r="AN1" s="487"/>
      <c r="AO1" s="487"/>
      <c r="AP1" s="487"/>
      <c r="AQ1" s="487"/>
      <c r="AR1" s="487"/>
      <c r="AS1" s="487"/>
    </row>
    <row r="2" spans="1:45" ht="33.75" customHeight="1" thickTop="1" thickBot="1">
      <c r="B2" s="489" t="s">
        <v>0</v>
      </c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  <c r="S2" s="490"/>
      <c r="T2" s="490"/>
      <c r="U2" s="490"/>
      <c r="V2" s="490"/>
      <c r="W2" s="490"/>
      <c r="X2" s="490"/>
      <c r="Y2" s="490"/>
      <c r="Z2" s="490"/>
      <c r="AA2" s="490"/>
      <c r="AB2" s="490"/>
      <c r="AC2" s="490"/>
      <c r="AD2" s="490"/>
      <c r="AE2" s="490"/>
      <c r="AF2" s="490"/>
      <c r="AG2" s="490"/>
      <c r="AH2" s="490"/>
      <c r="AI2" s="490"/>
      <c r="AJ2" s="490"/>
      <c r="AK2" s="490"/>
      <c r="AL2" s="490"/>
      <c r="AM2" s="490"/>
      <c r="AN2" s="490"/>
      <c r="AO2" s="490"/>
      <c r="AP2" s="490"/>
      <c r="AQ2" s="491"/>
    </row>
    <row r="3" spans="1:45" ht="9.9" customHeight="1" thickTop="1">
      <c r="A3" s="257"/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8"/>
      <c r="Z3" s="258"/>
      <c r="AA3" s="258"/>
      <c r="AB3" s="258"/>
      <c r="AC3" s="258"/>
      <c r="AD3" s="258"/>
      <c r="AE3" s="258"/>
      <c r="AF3" s="258"/>
      <c r="AG3" s="258"/>
      <c r="AH3" s="258"/>
      <c r="AI3" s="258"/>
      <c r="AJ3" s="258"/>
      <c r="AK3" s="258"/>
      <c r="AL3" s="258"/>
      <c r="AM3" s="258"/>
      <c r="AN3" s="258"/>
      <c r="AO3" s="258"/>
      <c r="AP3" s="258"/>
      <c r="AQ3" s="258"/>
    </row>
    <row r="4" spans="1:45" ht="9.9" customHeight="1">
      <c r="A4" s="257"/>
      <c r="B4" s="259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0"/>
      <c r="AA4" s="260"/>
      <c r="AB4" s="260"/>
      <c r="AC4" s="260"/>
      <c r="AD4" s="260"/>
      <c r="AE4" s="260"/>
      <c r="AF4" s="260"/>
      <c r="AG4" s="260"/>
      <c r="AH4" s="260"/>
      <c r="AI4" s="260"/>
      <c r="AJ4" s="260"/>
      <c r="AK4" s="260"/>
      <c r="AL4" s="260"/>
      <c r="AM4" s="260"/>
      <c r="AN4" s="260"/>
      <c r="AO4" s="260"/>
      <c r="AP4" s="260"/>
      <c r="AQ4" s="260"/>
      <c r="AR4" s="261"/>
    </row>
    <row r="5" spans="1:45" ht="21.75" customHeight="1">
      <c r="B5" s="262"/>
      <c r="D5" s="263"/>
      <c r="E5" s="263"/>
      <c r="F5" s="263"/>
      <c r="G5" s="263"/>
      <c r="H5" s="263"/>
      <c r="I5" s="263"/>
      <c r="J5" s="263"/>
      <c r="K5" s="264"/>
      <c r="L5" s="488"/>
      <c r="M5" s="488"/>
      <c r="N5" s="488"/>
      <c r="O5" s="488"/>
      <c r="P5" s="488"/>
      <c r="Q5" s="263"/>
      <c r="R5" s="263"/>
      <c r="S5" s="476" t="s">
        <v>154</v>
      </c>
      <c r="T5" s="476"/>
      <c r="U5" s="476"/>
      <c r="V5" s="476"/>
      <c r="W5" s="476"/>
      <c r="X5" s="252"/>
      <c r="Y5" s="386"/>
      <c r="Z5" s="265"/>
      <c r="AA5" s="265"/>
      <c r="AB5" s="263"/>
      <c r="AC5" s="265"/>
      <c r="AD5" s="264"/>
      <c r="AE5" s="264"/>
      <c r="AF5" s="488"/>
      <c r="AG5" s="488"/>
      <c r="AH5" s="488"/>
      <c r="AI5" s="488"/>
      <c r="AJ5" s="263"/>
      <c r="AK5" s="263"/>
      <c r="AL5" s="488"/>
      <c r="AM5" s="488"/>
      <c r="AN5" s="488"/>
      <c r="AO5" s="488"/>
      <c r="AP5" s="488"/>
      <c r="AQ5" s="252"/>
      <c r="AR5" s="121"/>
    </row>
    <row r="6" spans="1:45" ht="8.4" customHeight="1">
      <c r="B6" s="56"/>
      <c r="C6" s="215"/>
      <c r="D6" s="266"/>
      <c r="E6" s="267"/>
      <c r="F6" s="268"/>
      <c r="G6" s="267"/>
      <c r="H6" s="267"/>
      <c r="I6" s="268"/>
      <c r="J6" s="268"/>
      <c r="K6" s="267"/>
      <c r="L6" s="267"/>
      <c r="M6" s="267"/>
      <c r="N6" s="267"/>
      <c r="O6" s="267"/>
      <c r="P6" s="267"/>
      <c r="Q6" s="268"/>
      <c r="R6" s="268"/>
      <c r="S6" s="269"/>
      <c r="T6" s="269"/>
      <c r="U6" s="267"/>
      <c r="V6" s="267"/>
      <c r="W6" s="267"/>
      <c r="X6" s="268"/>
      <c r="Y6" s="269"/>
      <c r="Z6" s="269"/>
      <c r="AA6" s="269"/>
      <c r="AB6" s="268"/>
      <c r="AC6" s="269"/>
      <c r="AD6" s="267"/>
      <c r="AE6" s="267"/>
      <c r="AF6" s="267"/>
      <c r="AG6" s="267"/>
      <c r="AH6" s="267"/>
      <c r="AI6" s="267"/>
      <c r="AJ6" s="268"/>
      <c r="AK6" s="268"/>
      <c r="AL6" s="270"/>
      <c r="AM6" s="267"/>
      <c r="AN6" s="267"/>
      <c r="AO6" s="267"/>
      <c r="AP6" s="267"/>
      <c r="AQ6" s="268"/>
      <c r="AR6" s="64"/>
    </row>
    <row r="7" spans="1:45" ht="5.4" customHeight="1">
      <c r="B7" s="175"/>
      <c r="C7" s="175"/>
      <c r="D7" s="271"/>
      <c r="E7" s="272"/>
      <c r="F7" s="47"/>
      <c r="G7" s="272"/>
      <c r="H7" s="272"/>
      <c r="I7" s="47"/>
      <c r="J7" s="47"/>
      <c r="K7" s="272"/>
      <c r="L7" s="272"/>
      <c r="M7" s="272"/>
      <c r="N7" s="272"/>
      <c r="O7" s="272"/>
      <c r="P7" s="272"/>
      <c r="Q7" s="47"/>
      <c r="R7" s="47"/>
      <c r="S7" s="273"/>
      <c r="T7" s="273"/>
      <c r="U7" s="272"/>
      <c r="V7" s="272"/>
      <c r="W7" s="272"/>
      <c r="X7" s="47"/>
      <c r="Y7" s="273"/>
      <c r="Z7" s="273"/>
      <c r="AA7" s="273"/>
      <c r="AB7" s="47"/>
      <c r="AC7" s="273"/>
      <c r="AD7" s="272"/>
      <c r="AE7" s="272"/>
      <c r="AF7" s="272"/>
      <c r="AG7" s="272"/>
      <c r="AH7" s="272"/>
      <c r="AI7" s="272"/>
      <c r="AJ7" s="47"/>
      <c r="AK7" s="47"/>
      <c r="AL7" s="350"/>
      <c r="AM7" s="272"/>
      <c r="AN7" s="272"/>
      <c r="AO7" s="272"/>
      <c r="AP7" s="272"/>
      <c r="AQ7" s="47"/>
      <c r="AR7" s="175"/>
    </row>
    <row r="8" spans="1:45" ht="12.75" customHeight="1">
      <c r="B8" s="75"/>
      <c r="C8" s="246"/>
      <c r="D8" s="274"/>
      <c r="E8" s="275"/>
      <c r="F8" s="276"/>
      <c r="G8" s="275"/>
      <c r="H8" s="275"/>
      <c r="I8" s="276"/>
      <c r="J8" s="276"/>
      <c r="K8" s="275"/>
      <c r="L8" s="275"/>
      <c r="M8" s="275"/>
      <c r="N8" s="275"/>
      <c r="O8" s="275"/>
      <c r="P8" s="275"/>
      <c r="Q8" s="276"/>
      <c r="R8" s="276"/>
      <c r="S8" s="277"/>
      <c r="T8" s="277"/>
      <c r="U8" s="275"/>
      <c r="V8" s="275"/>
      <c r="W8" s="275"/>
      <c r="X8" s="276"/>
      <c r="Y8" s="277"/>
      <c r="Z8" s="277"/>
      <c r="AA8" s="277"/>
      <c r="AB8" s="276"/>
      <c r="AC8" s="277"/>
      <c r="AD8" s="275"/>
      <c r="AE8" s="275"/>
      <c r="AF8" s="275"/>
      <c r="AG8" s="275"/>
      <c r="AH8" s="275"/>
      <c r="AI8" s="275"/>
      <c r="AJ8" s="276"/>
      <c r="AK8" s="276"/>
      <c r="AL8" s="278"/>
      <c r="AM8" s="275"/>
      <c r="AN8" s="275"/>
      <c r="AO8" s="275"/>
      <c r="AP8" s="275"/>
      <c r="AQ8" s="276"/>
      <c r="AR8" s="79"/>
    </row>
    <row r="9" spans="1:45" ht="26.4" customHeight="1">
      <c r="A9" s="279"/>
      <c r="B9" s="82"/>
      <c r="C9" s="55"/>
      <c r="D9" s="55" t="s">
        <v>27</v>
      </c>
      <c r="E9" s="47"/>
      <c r="F9" s="280"/>
      <c r="G9" s="280"/>
      <c r="H9" s="47"/>
      <c r="I9" s="281"/>
      <c r="J9" s="492"/>
      <c r="K9" s="493"/>
      <c r="L9" s="493"/>
      <c r="M9" s="493"/>
      <c r="N9" s="493"/>
      <c r="O9" s="493"/>
      <c r="P9" s="493"/>
      <c r="Q9" s="493"/>
      <c r="R9" s="493"/>
      <c r="S9" s="493"/>
      <c r="T9" s="493"/>
      <c r="U9" s="493"/>
      <c r="V9" s="493"/>
      <c r="W9" s="493"/>
      <c r="X9" s="493"/>
      <c r="Y9" s="493"/>
      <c r="Z9" s="493"/>
      <c r="AA9" s="493"/>
      <c r="AB9" s="493"/>
      <c r="AC9" s="493"/>
      <c r="AD9" s="493"/>
      <c r="AE9" s="493"/>
      <c r="AF9" s="493"/>
      <c r="AG9" s="493"/>
      <c r="AH9" s="493"/>
      <c r="AI9" s="493"/>
      <c r="AJ9" s="494"/>
      <c r="AK9" s="282" t="s">
        <v>33</v>
      </c>
      <c r="AL9" s="283"/>
      <c r="AM9" s="281"/>
      <c r="AN9" s="284"/>
      <c r="AO9" s="282" t="s">
        <v>34</v>
      </c>
      <c r="AP9" s="281"/>
      <c r="AQ9" s="284"/>
      <c r="AR9" s="121"/>
    </row>
    <row r="10" spans="1:45" ht="5.25" customHeight="1">
      <c r="A10" s="279"/>
      <c r="B10" s="81"/>
      <c r="C10" s="247"/>
      <c r="D10" s="271"/>
      <c r="E10" s="47"/>
      <c r="F10" s="272"/>
      <c r="G10" s="272"/>
      <c r="H10" s="47"/>
      <c r="I10" s="285"/>
      <c r="J10" s="285"/>
      <c r="K10" s="281"/>
      <c r="L10" s="281"/>
      <c r="M10" s="281"/>
      <c r="N10" s="281"/>
      <c r="O10" s="281"/>
      <c r="P10" s="281"/>
      <c r="Q10" s="281"/>
      <c r="R10" s="281"/>
      <c r="S10" s="281"/>
      <c r="T10" s="281"/>
      <c r="U10" s="281"/>
      <c r="V10" s="281"/>
      <c r="W10" s="281"/>
      <c r="X10" s="281"/>
      <c r="Y10" s="281"/>
      <c r="Z10" s="281"/>
      <c r="AA10" s="281"/>
      <c r="AB10" s="281"/>
      <c r="AC10" s="281"/>
      <c r="AD10" s="281"/>
      <c r="AE10" s="281"/>
      <c r="AF10" s="281"/>
      <c r="AG10" s="281"/>
      <c r="AH10" s="281"/>
      <c r="AI10" s="281"/>
      <c r="AJ10" s="281"/>
      <c r="AK10" s="281"/>
      <c r="AL10" s="281"/>
      <c r="AM10" s="281"/>
      <c r="AN10" s="281"/>
      <c r="AO10" s="281"/>
      <c r="AP10" s="281"/>
      <c r="AQ10" s="281"/>
      <c r="AR10" s="121"/>
    </row>
    <row r="11" spans="1:45" ht="26.4" customHeight="1">
      <c r="B11" s="82"/>
      <c r="C11" s="55"/>
      <c r="D11" s="55" t="s">
        <v>17</v>
      </c>
      <c r="E11" s="17"/>
      <c r="F11" s="17"/>
      <c r="G11" s="17"/>
      <c r="H11" s="17"/>
      <c r="I11" s="281"/>
      <c r="J11" s="492"/>
      <c r="K11" s="493"/>
      <c r="L11" s="493"/>
      <c r="M11" s="493"/>
      <c r="N11" s="493"/>
      <c r="O11" s="493"/>
      <c r="P11" s="493"/>
      <c r="Q11" s="493"/>
      <c r="R11" s="493"/>
      <c r="S11" s="493"/>
      <c r="T11" s="493"/>
      <c r="U11" s="493"/>
      <c r="V11" s="493"/>
      <c r="W11" s="493"/>
      <c r="X11" s="493"/>
      <c r="Y11" s="493"/>
      <c r="Z11" s="493"/>
      <c r="AA11" s="493"/>
      <c r="AB11" s="493"/>
      <c r="AC11" s="493"/>
      <c r="AD11" s="493"/>
      <c r="AE11" s="493"/>
      <c r="AF11" s="493"/>
      <c r="AG11" s="493"/>
      <c r="AH11" s="493"/>
      <c r="AI11" s="493"/>
      <c r="AJ11" s="494"/>
      <c r="AK11" s="203" t="s">
        <v>35</v>
      </c>
      <c r="AL11" s="283"/>
      <c r="AM11" s="281"/>
      <c r="AN11" s="281"/>
      <c r="AO11" s="485"/>
      <c r="AP11" s="495"/>
      <c r="AQ11" s="486"/>
      <c r="AR11" s="121"/>
    </row>
    <row r="12" spans="1:45" ht="6.75" customHeight="1">
      <c r="B12" s="56"/>
      <c r="C12" s="215"/>
      <c r="D12" s="83"/>
      <c r="E12" s="84"/>
      <c r="F12" s="84"/>
      <c r="G12" s="84"/>
      <c r="H12" s="84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84"/>
      <c r="AL12" s="286"/>
      <c r="AM12" s="287"/>
      <c r="AN12" s="287"/>
      <c r="AO12" s="288"/>
      <c r="AP12" s="288"/>
      <c r="AQ12" s="288"/>
      <c r="AR12" s="64"/>
    </row>
    <row r="13" spans="1:45" ht="9" customHeight="1">
      <c r="B13" s="175"/>
      <c r="C13" s="175"/>
      <c r="D13" s="54"/>
      <c r="E13" s="17"/>
      <c r="F13" s="17"/>
      <c r="G13" s="17"/>
      <c r="H13" s="17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7"/>
      <c r="AL13" s="283"/>
      <c r="AM13" s="281"/>
      <c r="AN13" s="281"/>
      <c r="AO13" s="219"/>
      <c r="AP13" s="219"/>
      <c r="AQ13" s="219"/>
      <c r="AR13" s="175"/>
    </row>
    <row r="14" spans="1:45" ht="15" customHeight="1">
      <c r="D14" s="476" t="s">
        <v>53</v>
      </c>
      <c r="E14" s="476"/>
      <c r="F14" s="476"/>
      <c r="G14" s="476"/>
      <c r="H14" s="476"/>
      <c r="I14" s="476"/>
      <c r="J14" s="476"/>
      <c r="K14" s="476"/>
      <c r="L14" s="476"/>
      <c r="M14" s="476"/>
      <c r="N14" s="476"/>
      <c r="O14" s="476"/>
      <c r="P14" s="476"/>
      <c r="Q14" s="476"/>
      <c r="R14" s="476"/>
      <c r="S14" s="476"/>
      <c r="T14" s="476"/>
      <c r="U14" s="476"/>
      <c r="V14" s="476"/>
      <c r="W14" s="476"/>
      <c r="X14" s="476"/>
      <c r="Y14" s="476"/>
      <c r="Z14" s="476"/>
      <c r="AA14" s="476"/>
      <c r="AB14" s="476"/>
      <c r="AC14" s="476"/>
      <c r="AD14" s="476"/>
      <c r="AE14" s="476"/>
      <c r="AF14" s="476"/>
      <c r="AG14" s="476"/>
      <c r="AH14" s="476"/>
      <c r="AI14" s="476"/>
      <c r="AJ14" s="476"/>
      <c r="AK14" s="476"/>
      <c r="AL14" s="476"/>
      <c r="AM14" s="476"/>
      <c r="AN14" s="476"/>
      <c r="AO14" s="476"/>
      <c r="AP14" s="476"/>
      <c r="AQ14" s="476"/>
      <c r="AR14" s="160"/>
    </row>
    <row r="15" spans="1:45" s="289" customFormat="1" ht="6.9" customHeight="1">
      <c r="B15" s="290"/>
      <c r="C15" s="291"/>
      <c r="D15" s="292"/>
      <c r="E15" s="292"/>
      <c r="F15" s="292"/>
      <c r="G15" s="292"/>
      <c r="H15" s="29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292"/>
      <c r="U15" s="292"/>
      <c r="V15" s="292"/>
      <c r="W15" s="292"/>
      <c r="X15" s="292"/>
      <c r="Y15" s="292"/>
      <c r="Z15" s="292"/>
      <c r="AA15" s="292"/>
      <c r="AB15" s="292"/>
      <c r="AC15" s="292"/>
      <c r="AD15" s="292"/>
      <c r="AE15" s="292"/>
      <c r="AF15" s="292"/>
      <c r="AG15" s="292"/>
      <c r="AH15" s="292"/>
      <c r="AI15" s="292"/>
      <c r="AJ15" s="292"/>
      <c r="AK15" s="292"/>
      <c r="AL15" s="292"/>
      <c r="AM15" s="292"/>
      <c r="AN15" s="292"/>
      <c r="AO15" s="292"/>
      <c r="AP15" s="293"/>
      <c r="AQ15" s="293"/>
      <c r="AR15" s="294"/>
    </row>
    <row r="16" spans="1:45" ht="28.5" customHeight="1">
      <c r="B16" s="88"/>
      <c r="C16" s="175"/>
      <c r="D16" s="339" t="s">
        <v>7</v>
      </c>
      <c r="E16" s="339"/>
      <c r="F16" s="339"/>
      <c r="G16" s="339"/>
      <c r="H16" s="482"/>
      <c r="I16" s="483"/>
      <c r="J16" s="483"/>
      <c r="K16" s="483"/>
      <c r="L16" s="483"/>
      <c r="M16" s="484"/>
      <c r="N16" s="201" t="s">
        <v>36</v>
      </c>
      <c r="O16" s="201"/>
      <c r="P16" s="89"/>
      <c r="Q16" s="89"/>
      <c r="R16" s="437"/>
      <c r="S16" s="438"/>
      <c r="T16" s="438"/>
      <c r="U16" s="438"/>
      <c r="V16" s="438"/>
      <c r="W16" s="439"/>
      <c r="X16" s="201" t="s">
        <v>38</v>
      </c>
      <c r="Y16" s="201"/>
      <c r="Z16" s="437"/>
      <c r="AA16" s="438"/>
      <c r="AB16" s="438"/>
      <c r="AC16" s="438"/>
      <c r="AD16" s="438"/>
      <c r="AE16" s="438"/>
      <c r="AF16" s="438"/>
      <c r="AG16" s="438"/>
      <c r="AH16" s="439"/>
      <c r="AI16" s="477" t="s">
        <v>4</v>
      </c>
      <c r="AJ16" s="478"/>
      <c r="AK16" s="195"/>
      <c r="AL16" s="440" t="s">
        <v>43</v>
      </c>
      <c r="AM16" s="441"/>
      <c r="AN16" s="479"/>
      <c r="AO16" s="480"/>
      <c r="AP16" s="480"/>
      <c r="AQ16" s="481"/>
      <c r="AR16" s="121"/>
    </row>
    <row r="17" spans="2:44" s="289" customFormat="1" ht="6.9" customHeight="1">
      <c r="B17" s="95"/>
      <c r="C17" s="248"/>
      <c r="D17" s="295"/>
      <c r="E17" s="295"/>
      <c r="F17" s="295"/>
      <c r="G17" s="295"/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  <c r="Y17" s="295"/>
      <c r="Z17" s="295"/>
      <c r="AA17" s="295"/>
      <c r="AB17" s="295"/>
      <c r="AC17" s="237"/>
      <c r="AD17" s="295"/>
      <c r="AE17" s="295"/>
      <c r="AF17" s="295"/>
      <c r="AG17" s="295"/>
      <c r="AH17" s="295"/>
      <c r="AI17" s="295"/>
      <c r="AJ17" s="295"/>
      <c r="AK17" s="295"/>
      <c r="AL17" s="295"/>
      <c r="AM17" s="295"/>
      <c r="AN17" s="295"/>
      <c r="AO17" s="295"/>
      <c r="AP17" s="98"/>
      <c r="AQ17" s="98"/>
      <c r="AR17" s="96"/>
    </row>
    <row r="18" spans="2:44" ht="28.5" customHeight="1">
      <c r="B18" s="88"/>
      <c r="C18" s="175"/>
      <c r="D18" s="201" t="s">
        <v>6</v>
      </c>
      <c r="E18" s="89"/>
      <c r="F18" s="89"/>
      <c r="G18" s="89"/>
      <c r="H18" s="437"/>
      <c r="I18" s="438"/>
      <c r="J18" s="438"/>
      <c r="K18" s="438"/>
      <c r="L18" s="439"/>
      <c r="M18" s="89"/>
      <c r="N18" s="201" t="s">
        <v>111</v>
      </c>
      <c r="O18" s="89"/>
      <c r="P18" s="89"/>
      <c r="Q18" s="89"/>
      <c r="R18" s="89"/>
      <c r="S18" s="89"/>
      <c r="T18" s="437"/>
      <c r="U18" s="438"/>
      <c r="V18" s="438"/>
      <c r="W18" s="438"/>
      <c r="X18" s="439"/>
      <c r="Y18" s="440" t="s">
        <v>39</v>
      </c>
      <c r="Z18" s="441"/>
      <c r="AA18" s="143"/>
      <c r="AB18" s="437"/>
      <c r="AC18" s="439"/>
      <c r="AD18" s="89"/>
      <c r="AE18" s="89"/>
      <c r="AF18" s="441" t="s">
        <v>44</v>
      </c>
      <c r="AG18" s="441"/>
      <c r="AH18" s="441"/>
      <c r="AI18" s="441"/>
      <c r="AJ18" s="437"/>
      <c r="AK18" s="438"/>
      <c r="AL18" s="438"/>
      <c r="AM18" s="438"/>
      <c r="AN18" s="438"/>
      <c r="AO18" s="438"/>
      <c r="AP18" s="438"/>
      <c r="AQ18" s="439"/>
      <c r="AR18" s="121"/>
    </row>
    <row r="19" spans="2:44" s="289" customFormat="1" ht="6.9" customHeight="1">
      <c r="B19" s="95"/>
      <c r="C19" s="248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5"/>
      <c r="O19" s="295"/>
      <c r="P19" s="295"/>
      <c r="Q19" s="295"/>
      <c r="R19" s="295"/>
      <c r="S19" s="295"/>
      <c r="T19" s="295"/>
      <c r="U19" s="295"/>
      <c r="V19" s="295"/>
      <c r="W19" s="295"/>
      <c r="X19" s="295"/>
      <c r="Y19" s="295"/>
      <c r="Z19" s="295"/>
      <c r="AA19" s="295"/>
      <c r="AB19" s="295"/>
      <c r="AC19" s="295"/>
      <c r="AD19" s="295"/>
      <c r="AE19" s="295"/>
      <c r="AF19" s="295"/>
      <c r="AG19" s="295"/>
      <c r="AH19" s="295"/>
      <c r="AI19" s="295"/>
      <c r="AJ19" s="295"/>
      <c r="AK19" s="295"/>
      <c r="AL19" s="295"/>
      <c r="AM19" s="295"/>
      <c r="AN19" s="295"/>
      <c r="AO19" s="295"/>
      <c r="AP19" s="98"/>
      <c r="AQ19" s="98"/>
      <c r="AR19" s="96"/>
    </row>
    <row r="20" spans="2:44" ht="28.5" customHeight="1">
      <c r="B20" s="88"/>
      <c r="C20" s="175"/>
      <c r="D20" s="339" t="s">
        <v>103</v>
      </c>
      <c r="E20" s="339"/>
      <c r="F20" s="339"/>
      <c r="G20" s="437"/>
      <c r="H20" s="438"/>
      <c r="I20" s="438"/>
      <c r="J20" s="438"/>
      <c r="K20" s="438"/>
      <c r="L20" s="384"/>
      <c r="M20" s="340"/>
      <c r="N20" s="198"/>
      <c r="O20" s="89"/>
      <c r="P20" s="339" t="s">
        <v>45</v>
      </c>
      <c r="Q20" s="339"/>
      <c r="R20" s="339"/>
      <c r="S20" s="437"/>
      <c r="T20" s="438"/>
      <c r="U20" s="438"/>
      <c r="V20" s="438"/>
      <c r="W20" s="438"/>
      <c r="X20" s="439"/>
      <c r="Y20" s="89"/>
      <c r="Z20" s="449" t="s">
        <v>114</v>
      </c>
      <c r="AA20" s="449"/>
      <c r="AB20" s="449"/>
      <c r="AC20" s="449"/>
      <c r="AD20" s="449"/>
      <c r="AE20" s="140"/>
      <c r="AF20" s="437"/>
      <c r="AG20" s="438"/>
      <c r="AH20" s="438"/>
      <c r="AI20" s="439"/>
      <c r="AJ20" s="90"/>
      <c r="AK20" s="201" t="s">
        <v>144</v>
      </c>
      <c r="AL20" s="89"/>
      <c r="AM20" s="89"/>
      <c r="AN20" s="500"/>
      <c r="AO20" s="501"/>
      <c r="AP20" s="501"/>
      <c r="AQ20" s="502"/>
      <c r="AR20" s="121"/>
    </row>
    <row r="21" spans="2:44" s="289" customFormat="1" ht="6.9" customHeight="1">
      <c r="B21" s="95"/>
      <c r="C21" s="248"/>
      <c r="D21" s="295"/>
      <c r="E21" s="295"/>
      <c r="F21" s="295"/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295"/>
      <c r="Z21" s="295"/>
      <c r="AA21" s="295"/>
      <c r="AB21" s="295"/>
      <c r="AC21" s="295"/>
      <c r="AD21" s="295"/>
      <c r="AE21" s="295"/>
      <c r="AF21" s="295"/>
      <c r="AG21" s="295"/>
      <c r="AH21" s="295"/>
      <c r="AI21" s="295"/>
      <c r="AJ21" s="295"/>
      <c r="AK21" s="295"/>
      <c r="AL21" s="295"/>
      <c r="AM21" s="295"/>
      <c r="AN21" s="295"/>
      <c r="AO21" s="295"/>
      <c r="AP21" s="98"/>
      <c r="AQ21" s="98"/>
      <c r="AR21" s="96"/>
    </row>
    <row r="22" spans="2:44" ht="28.5" customHeight="1">
      <c r="B22" s="88"/>
      <c r="C22" s="175"/>
      <c r="D22" s="449" t="s">
        <v>157</v>
      </c>
      <c r="E22" s="449"/>
      <c r="F22" s="449"/>
      <c r="G22" s="339" t="s">
        <v>18</v>
      </c>
      <c r="H22" s="226"/>
      <c r="I22" s="338" t="s">
        <v>19</v>
      </c>
      <c r="J22" s="101"/>
      <c r="M22" s="443" t="s">
        <v>112</v>
      </c>
      <c r="N22" s="444"/>
      <c r="O22" s="296"/>
      <c r="P22" s="297"/>
      <c r="Q22" s="297"/>
      <c r="R22" s="298"/>
      <c r="S22" s="338" t="s">
        <v>47</v>
      </c>
      <c r="T22" s="437"/>
      <c r="U22" s="439"/>
      <c r="V22" s="299"/>
      <c r="W22" s="338" t="s">
        <v>10</v>
      </c>
      <c r="X22" s="195"/>
      <c r="Z22" s="443" t="s">
        <v>32</v>
      </c>
      <c r="AA22" s="443"/>
      <c r="AB22" s="444"/>
      <c r="AC22" s="383"/>
      <c r="AD22" s="384"/>
      <c r="AE22" s="384"/>
      <c r="AF22" s="384"/>
      <c r="AG22" s="300"/>
      <c r="AH22" s="443" t="s">
        <v>22</v>
      </c>
      <c r="AI22" s="444"/>
      <c r="AJ22" s="437"/>
      <c r="AK22" s="438"/>
      <c r="AL22" s="438"/>
      <c r="AM22" s="438"/>
      <c r="AN22" s="438"/>
      <c r="AO22" s="439"/>
      <c r="AP22" s="225" t="s">
        <v>11</v>
      </c>
      <c r="AQ22" s="195"/>
      <c r="AR22" s="121"/>
    </row>
    <row r="23" spans="2:44" s="289" customFormat="1" ht="21" customHeight="1">
      <c r="B23" s="95"/>
      <c r="C23" s="248"/>
      <c r="D23" s="201" t="s">
        <v>159</v>
      </c>
      <c r="E23" s="201"/>
      <c r="F23" s="201"/>
      <c r="G23" s="295"/>
      <c r="H23" s="295"/>
      <c r="I23" s="295"/>
      <c r="J23" s="295"/>
      <c r="K23" s="295"/>
      <c r="L23" s="295"/>
      <c r="M23" s="295"/>
      <c r="N23" s="295"/>
      <c r="O23" s="295"/>
      <c r="P23" s="295"/>
      <c r="Q23" s="295"/>
      <c r="R23" s="295"/>
      <c r="S23" s="295"/>
      <c r="T23" s="295"/>
      <c r="U23" s="295"/>
      <c r="V23" s="295"/>
      <c r="W23" s="295"/>
      <c r="X23" s="295"/>
      <c r="Y23" s="295"/>
      <c r="Z23" s="295"/>
      <c r="AA23" s="295"/>
      <c r="AB23" s="295"/>
      <c r="AC23" s="295"/>
      <c r="AD23" s="295"/>
      <c r="AE23" s="295"/>
      <c r="AF23" s="295"/>
      <c r="AG23" s="295"/>
      <c r="AH23" s="295"/>
      <c r="AI23" s="295"/>
      <c r="AJ23" s="302"/>
      <c r="AK23" s="98"/>
      <c r="AL23" s="98"/>
      <c r="AM23" s="98"/>
      <c r="AN23" s="98"/>
      <c r="AO23" s="98"/>
      <c r="AP23" s="98"/>
      <c r="AQ23" s="98"/>
      <c r="AR23" s="96"/>
    </row>
    <row r="24" spans="2:44" ht="28.5" customHeight="1">
      <c r="B24" s="88"/>
      <c r="C24" s="175"/>
      <c r="D24" s="339" t="s">
        <v>158</v>
      </c>
      <c r="E24" s="466"/>
      <c r="F24" s="467"/>
      <c r="G24" s="467"/>
      <c r="H24" s="467"/>
      <c r="I24" s="468"/>
      <c r="J24" s="440" t="s">
        <v>49</v>
      </c>
      <c r="K24" s="441"/>
      <c r="L24" s="441"/>
      <c r="M24" s="441"/>
      <c r="N24" s="442"/>
      <c r="O24" s="437"/>
      <c r="P24" s="439"/>
      <c r="Q24" s="341" t="s">
        <v>10</v>
      </c>
      <c r="R24" s="437"/>
      <c r="S24" s="439"/>
      <c r="T24" s="440" t="s">
        <v>32</v>
      </c>
      <c r="U24" s="441"/>
      <c r="V24" s="442"/>
      <c r="W24" s="437"/>
      <c r="X24" s="438"/>
      <c r="Y24" s="438"/>
      <c r="Z24" s="439"/>
      <c r="AA24" s="143"/>
      <c r="AB24" s="89"/>
      <c r="AC24" s="441" t="s">
        <v>51</v>
      </c>
      <c r="AD24" s="441"/>
      <c r="AE24" s="143"/>
      <c r="AF24" s="437"/>
      <c r="AG24" s="438"/>
      <c r="AH24" s="438"/>
      <c r="AI24" s="438"/>
      <c r="AJ24" s="439"/>
      <c r="AK24" s="198"/>
      <c r="AL24" s="441" t="s">
        <v>52</v>
      </c>
      <c r="AM24" s="441"/>
      <c r="AN24" s="441"/>
      <c r="AO24" s="437"/>
      <c r="AP24" s="438"/>
      <c r="AQ24" s="439"/>
      <c r="AR24" s="121"/>
    </row>
    <row r="25" spans="2:44" s="289" customFormat="1" ht="6.9" customHeight="1">
      <c r="B25" s="95"/>
      <c r="C25" s="248"/>
      <c r="D25" s="295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 t="s">
        <v>181</v>
      </c>
      <c r="P25" s="295"/>
      <c r="Q25" s="295"/>
      <c r="R25" s="295"/>
      <c r="S25" s="295"/>
      <c r="T25" s="295"/>
      <c r="U25" s="295"/>
      <c r="V25" s="295"/>
      <c r="W25" s="295"/>
      <c r="X25" s="295"/>
      <c r="Y25" s="295"/>
      <c r="Z25" s="295"/>
      <c r="AA25" s="295"/>
      <c r="AB25" s="295"/>
      <c r="AC25" s="295"/>
      <c r="AD25" s="295"/>
      <c r="AE25" s="295"/>
      <c r="AF25" s="295"/>
      <c r="AG25" s="295"/>
      <c r="AH25" s="295"/>
      <c r="AI25" s="295"/>
      <c r="AJ25" s="302"/>
      <c r="AK25" s="98"/>
      <c r="AL25" s="98"/>
      <c r="AM25" s="98"/>
      <c r="AN25" s="98"/>
      <c r="AO25" s="98"/>
      <c r="AP25" s="98"/>
      <c r="AQ25" s="98"/>
      <c r="AR25" s="96"/>
    </row>
    <row r="26" spans="2:44" ht="28.5" customHeight="1">
      <c r="B26" s="88"/>
      <c r="C26" s="175"/>
      <c r="D26" s="339" t="s">
        <v>50</v>
      </c>
      <c r="E26" s="339"/>
      <c r="F26" s="339"/>
      <c r="G26" s="497"/>
      <c r="H26" s="498"/>
      <c r="I26" s="498"/>
      <c r="J26" s="498"/>
      <c r="K26" s="498"/>
      <c r="L26" s="498"/>
      <c r="M26" s="498"/>
      <c r="N26" s="499"/>
      <c r="O26" s="503" t="s">
        <v>25</v>
      </c>
      <c r="P26" s="444"/>
      <c r="Q26" s="437"/>
      <c r="R26" s="439"/>
      <c r="S26" s="503" t="s">
        <v>26</v>
      </c>
      <c r="T26" s="444"/>
      <c r="U26" s="437"/>
      <c r="V26" s="439"/>
      <c r="W26" s="89"/>
      <c r="X26" s="89"/>
      <c r="Y26" s="89"/>
      <c r="Z26" s="89"/>
      <c r="AA26" s="89"/>
      <c r="AB26" s="201" t="s">
        <v>132</v>
      </c>
      <c r="AC26" s="89"/>
      <c r="AD26" s="437"/>
      <c r="AE26" s="438"/>
      <c r="AF26" s="438"/>
      <c r="AG26" s="438"/>
      <c r="AH26" s="439"/>
      <c r="AI26" s="89"/>
      <c r="AJ26" s="387"/>
      <c r="AK26" s="143"/>
      <c r="AL26" s="143"/>
      <c r="AM26" s="143"/>
      <c r="AN26" s="143"/>
      <c r="AO26" s="143"/>
      <c r="AP26" s="143"/>
      <c r="AQ26" s="155"/>
      <c r="AR26" s="121"/>
    </row>
    <row r="27" spans="2:44" s="289" customFormat="1" ht="6.9" customHeight="1">
      <c r="B27" s="95"/>
      <c r="C27" s="248"/>
      <c r="D27" s="97"/>
      <c r="E27" s="97"/>
      <c r="F27" s="97"/>
      <c r="G27" s="97"/>
      <c r="H27" s="97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295"/>
      <c r="X27" s="295"/>
      <c r="Y27" s="295"/>
      <c r="Z27" s="295"/>
      <c r="AA27" s="295"/>
      <c r="AB27" s="295"/>
      <c r="AC27" s="295"/>
      <c r="AD27" s="295"/>
      <c r="AE27" s="295"/>
      <c r="AF27" s="295"/>
      <c r="AG27" s="295"/>
      <c r="AH27" s="295"/>
      <c r="AI27" s="295"/>
      <c r="AJ27" s="302"/>
      <c r="AK27" s="98"/>
      <c r="AL27" s="98"/>
      <c r="AM27" s="98"/>
      <c r="AN27" s="98"/>
      <c r="AO27" s="98"/>
      <c r="AP27" s="98"/>
      <c r="AQ27" s="98"/>
      <c r="AR27" s="96"/>
    </row>
    <row r="28" spans="2:44" ht="14.25" customHeight="1">
      <c r="B28" s="88"/>
      <c r="C28" s="175"/>
      <c r="D28" s="449" t="s">
        <v>40</v>
      </c>
      <c r="E28" s="449"/>
      <c r="F28" s="449"/>
      <c r="G28" s="449"/>
      <c r="H28" s="449"/>
      <c r="I28" s="449"/>
      <c r="J28" s="507" t="s">
        <v>41</v>
      </c>
      <c r="K28" s="507"/>
      <c r="L28" s="507"/>
      <c r="M28" s="507"/>
      <c r="N28" s="507"/>
      <c r="O28" s="507"/>
      <c r="P28" s="507"/>
      <c r="Q28" s="507"/>
      <c r="R28" s="507"/>
      <c r="S28" s="507"/>
      <c r="T28" s="507"/>
      <c r="U28" s="89"/>
      <c r="V28" s="508" t="s">
        <v>42</v>
      </c>
      <c r="W28" s="508"/>
      <c r="X28" s="89"/>
      <c r="Y28" s="449" t="s">
        <v>12</v>
      </c>
      <c r="Z28" s="449"/>
      <c r="AA28" s="449"/>
      <c r="AB28" s="449"/>
      <c r="AC28" s="449"/>
      <c r="AD28" s="89"/>
      <c r="AE28" s="89"/>
      <c r="AF28" s="507" t="s">
        <v>13</v>
      </c>
      <c r="AG28" s="507"/>
      <c r="AH28" s="507"/>
      <c r="AI28" s="507"/>
      <c r="AJ28" s="507"/>
      <c r="AK28" s="341" t="s">
        <v>10</v>
      </c>
      <c r="AL28" s="89"/>
      <c r="AM28" s="449" t="s">
        <v>14</v>
      </c>
      <c r="AN28" s="449"/>
      <c r="AO28" s="449"/>
      <c r="AP28" s="449"/>
      <c r="AQ28" s="17"/>
      <c r="AR28" s="121"/>
    </row>
    <row r="29" spans="2:44" ht="28.5" customHeight="1">
      <c r="B29" s="88"/>
      <c r="C29" s="175"/>
      <c r="D29" s="122"/>
      <c r="E29" s="101"/>
      <c r="F29" s="509" t="s">
        <v>98</v>
      </c>
      <c r="G29" s="510"/>
      <c r="H29" s="510"/>
      <c r="I29" s="511"/>
      <c r="J29" s="512"/>
      <c r="K29" s="513"/>
      <c r="L29" s="513"/>
      <c r="M29" s="513"/>
      <c r="N29" s="513"/>
      <c r="O29" s="513"/>
      <c r="P29" s="513"/>
      <c r="Q29" s="513"/>
      <c r="R29" s="513"/>
      <c r="S29" s="513"/>
      <c r="T29" s="514"/>
      <c r="U29" s="47"/>
      <c r="V29" s="437"/>
      <c r="W29" s="439"/>
      <c r="X29" s="47"/>
      <c r="Y29" s="437"/>
      <c r="Z29" s="438"/>
      <c r="AA29" s="438"/>
      <c r="AB29" s="438"/>
      <c r="AC29" s="438"/>
      <c r="AD29" s="439"/>
      <c r="AE29" s="47"/>
      <c r="AF29" s="437"/>
      <c r="AG29" s="438"/>
      <c r="AH29" s="438"/>
      <c r="AI29" s="438"/>
      <c r="AJ29" s="439"/>
      <c r="AK29" s="301" t="s">
        <v>180</v>
      </c>
      <c r="AL29" s="90"/>
      <c r="AM29" s="437"/>
      <c r="AN29" s="438"/>
      <c r="AO29" s="438"/>
      <c r="AP29" s="438"/>
      <c r="AQ29" s="439"/>
      <c r="AR29" s="121"/>
    </row>
    <row r="30" spans="2:44" s="289" customFormat="1" ht="6.9" customHeight="1">
      <c r="B30" s="95"/>
      <c r="C30" s="248"/>
      <c r="D30" s="98"/>
      <c r="E30" s="98"/>
      <c r="F30" s="295"/>
      <c r="G30" s="295"/>
      <c r="H30" s="295"/>
      <c r="I30" s="295"/>
      <c r="J30" s="295"/>
      <c r="K30" s="295"/>
      <c r="L30" s="295"/>
      <c r="M30" s="295"/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295"/>
      <c r="Z30" s="295"/>
      <c r="AA30" s="295"/>
      <c r="AB30" s="295"/>
      <c r="AC30" s="295"/>
      <c r="AD30" s="295"/>
      <c r="AE30" s="295"/>
      <c r="AF30" s="295"/>
      <c r="AG30" s="295"/>
      <c r="AH30" s="295"/>
      <c r="AI30" s="295"/>
      <c r="AJ30" s="295"/>
      <c r="AK30" s="295"/>
      <c r="AL30" s="295"/>
      <c r="AM30" s="295"/>
      <c r="AN30" s="295"/>
      <c r="AO30" s="295"/>
      <c r="AP30" s="295"/>
      <c r="AQ30" s="295"/>
      <c r="AR30" s="96"/>
    </row>
    <row r="31" spans="2:44" s="289" customFormat="1" ht="6.9" customHeight="1">
      <c r="B31" s="95"/>
      <c r="C31" s="248"/>
      <c r="D31" s="98"/>
      <c r="E31" s="98"/>
      <c r="F31" s="295"/>
      <c r="G31" s="295"/>
      <c r="H31" s="295"/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Y31" s="295"/>
      <c r="Z31" s="295"/>
      <c r="AA31" s="295"/>
      <c r="AB31" s="295"/>
      <c r="AC31" s="295"/>
      <c r="AD31" s="295"/>
      <c r="AE31" s="295"/>
      <c r="AF31" s="295"/>
      <c r="AG31" s="295"/>
      <c r="AH31" s="295"/>
      <c r="AI31" s="295"/>
      <c r="AJ31" s="295"/>
      <c r="AK31" s="295"/>
      <c r="AL31" s="295"/>
      <c r="AM31" s="295"/>
      <c r="AN31" s="295"/>
      <c r="AO31" s="295"/>
      <c r="AP31" s="295"/>
      <c r="AQ31" s="295"/>
      <c r="AR31" s="96"/>
    </row>
    <row r="32" spans="2:44" ht="25.5" customHeight="1">
      <c r="B32" s="88"/>
      <c r="C32" s="175"/>
      <c r="D32" s="449" t="s">
        <v>77</v>
      </c>
      <c r="E32" s="505"/>
      <c r="F32" s="437"/>
      <c r="G32" s="438"/>
      <c r="H32" s="438"/>
      <c r="I32" s="438"/>
      <c r="J32" s="438"/>
      <c r="K32" s="438"/>
      <c r="L32" s="438"/>
      <c r="M32" s="438"/>
      <c r="N32" s="438"/>
      <c r="O32" s="438"/>
      <c r="P32" s="438"/>
      <c r="Q32" s="438"/>
      <c r="R32" s="438"/>
      <c r="S32" s="438"/>
      <c r="T32" s="438"/>
      <c r="U32" s="439"/>
      <c r="V32" s="90"/>
      <c r="W32" s="441" t="s">
        <v>78</v>
      </c>
      <c r="X32" s="441"/>
      <c r="Y32" s="437"/>
      <c r="Z32" s="438"/>
      <c r="AA32" s="438"/>
      <c r="AB32" s="438"/>
      <c r="AC32" s="438"/>
      <c r="AD32" s="438"/>
      <c r="AE32" s="438"/>
      <c r="AF32" s="438"/>
      <c r="AG32" s="438"/>
      <c r="AH32" s="438"/>
      <c r="AI32" s="438"/>
      <c r="AJ32" s="438"/>
      <c r="AK32" s="438"/>
      <c r="AL32" s="438"/>
      <c r="AM32" s="438"/>
      <c r="AN32" s="438"/>
      <c r="AO32" s="438"/>
      <c r="AP32" s="438"/>
      <c r="AQ32" s="439"/>
      <c r="AR32" s="121"/>
    </row>
    <row r="33" spans="2:44" s="289" customFormat="1" ht="9.75" customHeight="1">
      <c r="B33" s="95"/>
      <c r="C33" s="248"/>
      <c r="D33" s="97"/>
      <c r="E33" s="97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6"/>
    </row>
    <row r="34" spans="2:44" s="289" customFormat="1" ht="12.75" customHeight="1">
      <c r="B34" s="95"/>
      <c r="C34" s="248"/>
      <c r="D34" s="97"/>
      <c r="E34" s="97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341" t="s">
        <v>176</v>
      </c>
      <c r="X34" s="98"/>
      <c r="Y34" s="303"/>
      <c r="Z34" s="304"/>
      <c r="AA34" s="305"/>
      <c r="AB34" s="305"/>
      <c r="AC34" s="305"/>
      <c r="AD34" s="305"/>
      <c r="AE34" s="305"/>
      <c r="AF34" s="305"/>
      <c r="AG34" s="305"/>
      <c r="AH34" s="305"/>
      <c r="AI34" s="305"/>
      <c r="AJ34" s="305"/>
      <c r="AK34" s="305"/>
      <c r="AL34" s="305"/>
      <c r="AM34" s="305"/>
      <c r="AN34" s="305"/>
      <c r="AO34" s="305"/>
      <c r="AP34" s="305"/>
      <c r="AQ34" s="306"/>
      <c r="AR34" s="96"/>
    </row>
    <row r="35" spans="2:44" s="289" customFormat="1" ht="9" customHeight="1">
      <c r="B35" s="95"/>
      <c r="C35" s="248"/>
      <c r="D35" s="97"/>
      <c r="E35" s="97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6"/>
    </row>
    <row r="36" spans="2:44" ht="24" customHeight="1">
      <c r="B36" s="262"/>
      <c r="D36" s="476" t="s">
        <v>54</v>
      </c>
      <c r="E36" s="476"/>
      <c r="F36" s="476"/>
      <c r="G36" s="476"/>
      <c r="H36" s="476"/>
      <c r="I36" s="476"/>
      <c r="J36" s="506"/>
      <c r="K36" s="506"/>
      <c r="L36" s="506"/>
      <c r="M36" s="506"/>
      <c r="N36" s="506"/>
      <c r="O36" s="506"/>
      <c r="P36" s="506"/>
      <c r="Q36" s="506"/>
      <c r="R36" s="506"/>
      <c r="S36" s="506"/>
      <c r="T36" s="506"/>
      <c r="U36" s="506"/>
      <c r="V36" s="506"/>
      <c r="W36" s="506"/>
      <c r="X36" s="506"/>
      <c r="Y36" s="506"/>
      <c r="Z36" s="506"/>
      <c r="AA36" s="506"/>
      <c r="AB36" s="506"/>
      <c r="AC36" s="506"/>
      <c r="AD36" s="506"/>
      <c r="AE36" s="506"/>
      <c r="AF36" s="506"/>
      <c r="AG36" s="506"/>
      <c r="AH36" s="506"/>
      <c r="AI36" s="506"/>
      <c r="AJ36" s="506"/>
      <c r="AK36" s="506"/>
      <c r="AL36" s="506"/>
      <c r="AM36" s="506"/>
      <c r="AN36" s="506"/>
      <c r="AO36" s="506"/>
      <c r="AP36" s="506"/>
      <c r="AQ36" s="506"/>
      <c r="AR36" s="166"/>
    </row>
    <row r="37" spans="2:44" ht="10.95" customHeight="1">
      <c r="B37" s="262"/>
      <c r="D37" s="243"/>
      <c r="E37" s="243"/>
      <c r="F37" s="243"/>
      <c r="G37" s="243"/>
      <c r="H37" s="243"/>
      <c r="I37" s="243"/>
      <c r="J37" s="332"/>
      <c r="K37" s="332"/>
      <c r="L37" s="332"/>
      <c r="M37" s="332"/>
      <c r="N37" s="332"/>
      <c r="O37" s="332"/>
      <c r="P37" s="332"/>
      <c r="Q37" s="332"/>
      <c r="R37" s="332"/>
      <c r="S37" s="332"/>
      <c r="T37" s="332"/>
      <c r="U37" s="332"/>
      <c r="V37" s="332"/>
      <c r="W37" s="332"/>
      <c r="X37" s="332"/>
      <c r="Y37" s="332"/>
      <c r="Z37" s="332"/>
      <c r="AA37" s="332"/>
      <c r="AB37" s="332"/>
      <c r="AC37" s="332"/>
      <c r="AD37" s="332"/>
      <c r="AE37" s="332"/>
      <c r="AF37" s="332"/>
      <c r="AG37" s="332"/>
      <c r="AH37" s="332"/>
      <c r="AI37" s="332"/>
      <c r="AJ37" s="332"/>
      <c r="AK37" s="332"/>
      <c r="AL37" s="332"/>
      <c r="AM37" s="332"/>
      <c r="AN37" s="332"/>
      <c r="AO37" s="332"/>
      <c r="AP37" s="332"/>
      <c r="AQ37" s="332"/>
      <c r="AR37" s="166"/>
    </row>
    <row r="38" spans="2:44" ht="15" customHeight="1">
      <c r="B38" s="262"/>
      <c r="C38" s="307"/>
      <c r="D38" s="245" t="s">
        <v>145</v>
      </c>
      <c r="E38" s="245"/>
      <c r="F38" s="245"/>
      <c r="G38" s="244"/>
      <c r="H38" s="244"/>
      <c r="I38" s="308"/>
      <c r="J38" s="243"/>
      <c r="K38" s="243"/>
      <c r="L38" s="243"/>
      <c r="M38" s="243"/>
      <c r="N38" s="243"/>
      <c r="O38" s="243"/>
      <c r="P38" s="243"/>
      <c r="Q38" s="243"/>
      <c r="R38" s="243"/>
      <c r="S38" s="249"/>
      <c r="T38" s="332"/>
      <c r="U38" s="332"/>
      <c r="V38" s="332"/>
      <c r="W38" s="332"/>
      <c r="X38" s="332"/>
      <c r="Y38" s="332"/>
      <c r="Z38" s="332"/>
      <c r="AA38" s="332"/>
      <c r="AB38" s="332"/>
      <c r="AC38" s="332"/>
      <c r="AD38" s="332"/>
      <c r="AE38" s="332"/>
      <c r="AF38" s="332"/>
      <c r="AG38" s="332"/>
      <c r="AH38" s="332"/>
      <c r="AI38" s="332"/>
      <c r="AJ38" s="332"/>
      <c r="AK38" s="332"/>
      <c r="AL38" s="332"/>
      <c r="AM38" s="332"/>
      <c r="AN38" s="332"/>
      <c r="AO38" s="332"/>
      <c r="AP38" s="332"/>
      <c r="AQ38" s="332"/>
      <c r="AR38" s="166"/>
    </row>
    <row r="39" spans="2:44" ht="2.25" customHeight="1">
      <c r="B39" s="262"/>
      <c r="C39" s="262"/>
      <c r="D39" s="115"/>
      <c r="E39" s="115"/>
      <c r="F39" s="115"/>
      <c r="G39" s="115"/>
      <c r="H39" s="11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389"/>
      <c r="T39" s="155"/>
      <c r="U39" s="155"/>
      <c r="V39" s="155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302"/>
      <c r="AK39" s="98"/>
      <c r="AL39" s="98"/>
      <c r="AM39" s="155"/>
      <c r="AN39" s="155"/>
      <c r="AO39" s="155"/>
      <c r="AP39" s="155"/>
      <c r="AQ39" s="155"/>
      <c r="AR39" s="389"/>
    </row>
    <row r="40" spans="2:44" ht="23.25" customHeight="1">
      <c r="B40" s="88"/>
      <c r="C40" s="88"/>
      <c r="D40" s="400"/>
      <c r="E40" s="206" t="s">
        <v>17</v>
      </c>
      <c r="F40" s="390"/>
      <c r="G40" s="401"/>
      <c r="H40" s="206" t="s">
        <v>178</v>
      </c>
      <c r="K40" s="115"/>
      <c r="L40" s="402"/>
      <c r="M40" s="206" t="s">
        <v>142</v>
      </c>
      <c r="O40" s="115"/>
      <c r="P40" s="402"/>
      <c r="Q40" s="206" t="s">
        <v>143</v>
      </c>
      <c r="R40" s="115"/>
      <c r="S40" s="311"/>
      <c r="T40" s="339" t="s">
        <v>179</v>
      </c>
      <c r="U40" s="155"/>
      <c r="V40" s="155"/>
      <c r="X40" s="458"/>
      <c r="Y40" s="459"/>
      <c r="Z40" s="459"/>
      <c r="AA40" s="459"/>
      <c r="AB40" s="460"/>
      <c r="AC40" s="441" t="s">
        <v>56</v>
      </c>
      <c r="AD40" s="441"/>
      <c r="AE40" s="442"/>
      <c r="AF40" s="437"/>
      <c r="AG40" s="438"/>
      <c r="AH40" s="438"/>
      <c r="AI40" s="438"/>
      <c r="AJ40" s="438"/>
      <c r="AK40" s="438"/>
      <c r="AL40" s="438"/>
      <c r="AM40" s="439"/>
      <c r="AN40" s="235"/>
      <c r="AO40" s="143" t="s">
        <v>57</v>
      </c>
      <c r="AQ40" s="195"/>
      <c r="AR40" s="121"/>
    </row>
    <row r="41" spans="2:44" ht="4.5" customHeight="1">
      <c r="B41" s="88"/>
      <c r="C41" s="56"/>
      <c r="D41" s="250"/>
      <c r="E41" s="251"/>
      <c r="F41" s="250"/>
      <c r="G41" s="312"/>
      <c r="H41" s="251"/>
      <c r="I41" s="313"/>
      <c r="J41" s="313"/>
      <c r="K41" s="229"/>
      <c r="L41" s="314"/>
      <c r="M41" s="251"/>
      <c r="N41" s="313"/>
      <c r="O41" s="229"/>
      <c r="P41" s="314"/>
      <c r="Q41" s="251"/>
      <c r="R41" s="229"/>
      <c r="S41" s="315"/>
      <c r="T41" s="339"/>
      <c r="U41" s="155"/>
      <c r="V41" s="155"/>
      <c r="X41" s="316"/>
      <c r="Y41" s="316"/>
      <c r="Z41" s="316"/>
      <c r="AA41" s="316"/>
      <c r="AB41" s="316"/>
      <c r="AC41" s="341"/>
      <c r="AD41" s="341"/>
      <c r="AE41" s="341"/>
      <c r="AF41" s="198"/>
      <c r="AG41" s="198"/>
      <c r="AH41" s="198"/>
      <c r="AI41" s="198"/>
      <c r="AJ41" s="198"/>
      <c r="AK41" s="198"/>
      <c r="AL41" s="198"/>
      <c r="AM41" s="198"/>
      <c r="AN41" s="235"/>
      <c r="AO41" s="143"/>
      <c r="AQ41" s="198"/>
      <c r="AR41" s="121"/>
    </row>
    <row r="42" spans="2:44" ht="9.75" customHeight="1">
      <c r="B42" s="88"/>
      <c r="C42" s="175"/>
      <c r="D42" s="206"/>
      <c r="E42" s="206"/>
      <c r="F42" s="206"/>
      <c r="G42" s="206"/>
      <c r="H42" s="206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7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302"/>
      <c r="AK42" s="98"/>
      <c r="AL42" s="98"/>
      <c r="AM42" s="155"/>
      <c r="AN42" s="155"/>
      <c r="AO42" s="155"/>
      <c r="AP42" s="155"/>
      <c r="AQ42" s="155"/>
      <c r="AR42" s="121"/>
    </row>
    <row r="43" spans="2:44" ht="28.5" customHeight="1">
      <c r="B43" s="88"/>
      <c r="C43" s="175"/>
      <c r="D43" s="201" t="s">
        <v>31</v>
      </c>
      <c r="E43" s="143"/>
      <c r="F43" s="143"/>
      <c r="G43" s="437"/>
      <c r="H43" s="438"/>
      <c r="I43" s="438"/>
      <c r="J43" s="438"/>
      <c r="K43" s="438"/>
      <c r="L43" s="438"/>
      <c r="M43" s="438"/>
      <c r="N43" s="438"/>
      <c r="O43" s="438"/>
      <c r="P43" s="438"/>
      <c r="Q43" s="439"/>
      <c r="S43" s="201" t="s">
        <v>146</v>
      </c>
      <c r="T43" s="466"/>
      <c r="U43" s="467"/>
      <c r="V43" s="468"/>
      <c r="W43" s="388"/>
      <c r="X43" s="201" t="s">
        <v>58</v>
      </c>
      <c r="Y43" s="388"/>
      <c r="Z43" s="388"/>
      <c r="AA43" s="388"/>
      <c r="AB43" s="388"/>
      <c r="AC43" s="441" t="s">
        <v>18</v>
      </c>
      <c r="AD43" s="441"/>
      <c r="AE43" s="144"/>
      <c r="AF43" s="301"/>
      <c r="AG43" s="441" t="s">
        <v>125</v>
      </c>
      <c r="AH43" s="441"/>
      <c r="AJ43" s="195"/>
      <c r="AL43" s="143"/>
      <c r="AM43" s="143"/>
      <c r="AN43" s="235"/>
      <c r="AO43" s="143" t="s">
        <v>24</v>
      </c>
      <c r="AP43" s="155"/>
      <c r="AQ43" s="195"/>
      <c r="AR43" s="121"/>
    </row>
    <row r="44" spans="2:44" ht="16.5" customHeight="1">
      <c r="B44" s="88"/>
      <c r="C44" s="175"/>
      <c r="D44" s="469" t="s">
        <v>152</v>
      </c>
      <c r="E44" s="469"/>
      <c r="F44" s="469"/>
      <c r="G44" s="469" t="s">
        <v>147</v>
      </c>
      <c r="H44" s="469"/>
      <c r="I44" s="469"/>
      <c r="J44" s="469"/>
      <c r="K44" s="469"/>
      <c r="L44" s="469"/>
      <c r="M44" s="469"/>
      <c r="N44" s="469"/>
      <c r="O44" s="469"/>
      <c r="P44" s="469"/>
      <c r="Q44" s="469"/>
      <c r="R44" s="469"/>
      <c r="S44" s="469"/>
      <c r="T44" s="469"/>
      <c r="U44" s="469"/>
      <c r="V44" s="469"/>
      <c r="W44" s="154"/>
      <c r="X44" s="154"/>
      <c r="Y44" s="154"/>
      <c r="Z44" s="154"/>
      <c r="AA44" s="154"/>
      <c r="AB44" s="154"/>
      <c r="AC44" s="155"/>
      <c r="AD44" s="155"/>
      <c r="AE44" s="155"/>
      <c r="AF44" s="17"/>
      <c r="AG44" s="155"/>
      <c r="AH44" s="155"/>
      <c r="AI44" s="17"/>
      <c r="AJ44" s="302"/>
      <c r="AK44" s="155"/>
      <c r="AL44" s="155"/>
      <c r="AM44" s="155"/>
      <c r="AN44" s="155"/>
      <c r="AO44" s="155"/>
      <c r="AP44" s="155"/>
      <c r="AQ44" s="155"/>
      <c r="AR44" s="121"/>
    </row>
    <row r="45" spans="2:44" ht="13.5" customHeight="1">
      <c r="B45" s="88"/>
      <c r="C45" s="175"/>
      <c r="D45" s="342"/>
      <c r="E45" s="342"/>
      <c r="F45" s="342"/>
      <c r="G45" s="342"/>
      <c r="H45" s="3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154"/>
      <c r="X45" s="154"/>
      <c r="Y45" s="154"/>
      <c r="Z45" s="154"/>
      <c r="AA45" s="154"/>
      <c r="AB45" s="154"/>
      <c r="AC45" s="155"/>
      <c r="AD45" s="155"/>
      <c r="AE45" s="155"/>
      <c r="AF45" s="17"/>
      <c r="AG45" s="155"/>
      <c r="AH45" s="155"/>
      <c r="AI45" s="17"/>
      <c r="AJ45" s="302"/>
      <c r="AK45" s="155"/>
      <c r="AL45" s="155"/>
      <c r="AM45" s="155"/>
      <c r="AN45" s="155"/>
      <c r="AO45" s="155"/>
      <c r="AP45" s="155"/>
      <c r="AQ45" s="155"/>
      <c r="AR45" s="121"/>
    </row>
    <row r="46" spans="2:44" ht="18.75" customHeight="1">
      <c r="B46" s="88"/>
      <c r="C46" s="175"/>
      <c r="D46" s="469" t="s">
        <v>65</v>
      </c>
      <c r="E46" s="469"/>
      <c r="F46" s="469"/>
      <c r="G46" s="469"/>
      <c r="H46" s="469"/>
      <c r="I46" s="469"/>
      <c r="J46" s="469"/>
      <c r="K46" s="469"/>
      <c r="L46" s="469"/>
      <c r="M46" s="342"/>
      <c r="N46" s="497"/>
      <c r="O46" s="498"/>
      <c r="P46" s="498"/>
      <c r="Q46" s="498"/>
      <c r="R46" s="498"/>
      <c r="S46" s="498"/>
      <c r="T46" s="498"/>
      <c r="U46" s="498"/>
      <c r="V46" s="498"/>
      <c r="W46" s="498"/>
      <c r="X46" s="498"/>
      <c r="Y46" s="498"/>
      <c r="Z46" s="498"/>
      <c r="AA46" s="498"/>
      <c r="AB46" s="498"/>
      <c r="AC46" s="498"/>
      <c r="AD46" s="498"/>
      <c r="AE46" s="498"/>
      <c r="AF46" s="498"/>
      <c r="AG46" s="498"/>
      <c r="AH46" s="498"/>
      <c r="AI46" s="498"/>
      <c r="AJ46" s="498"/>
      <c r="AK46" s="498"/>
      <c r="AL46" s="498"/>
      <c r="AM46" s="498"/>
      <c r="AN46" s="498"/>
      <c r="AO46" s="499"/>
      <c r="AP46" s="155"/>
      <c r="AQ46" s="155"/>
      <c r="AR46" s="121"/>
    </row>
    <row r="47" spans="2:44" ht="3" customHeight="1">
      <c r="B47" s="88"/>
      <c r="C47" s="175"/>
      <c r="M47" s="155"/>
      <c r="AP47" s="155"/>
      <c r="AQ47" s="155"/>
      <c r="AR47" s="121"/>
    </row>
    <row r="48" spans="2:44" ht="28.5" customHeight="1">
      <c r="B48" s="88"/>
      <c r="C48" s="175"/>
      <c r="D48" s="352" t="s">
        <v>64</v>
      </c>
      <c r="E48" s="445"/>
      <c r="F48" s="446"/>
      <c r="G48" s="446"/>
      <c r="H48" s="446"/>
      <c r="I48" s="447"/>
      <c r="L48" s="17"/>
      <c r="M48" s="155"/>
      <c r="N48" s="441" t="s">
        <v>60</v>
      </c>
      <c r="O48" s="441"/>
      <c r="P48" s="441"/>
      <c r="Q48" s="441"/>
      <c r="R48" s="441"/>
      <c r="S48" s="195"/>
      <c r="V48" s="385" t="s">
        <v>59</v>
      </c>
      <c r="X48" s="299"/>
      <c r="Z48" s="237"/>
      <c r="AA48" s="201" t="s">
        <v>61</v>
      </c>
      <c r="AB48" s="235"/>
      <c r="AF48" s="301"/>
      <c r="AI48" s="147"/>
      <c r="AJ48" s="313"/>
      <c r="AK48" s="147"/>
      <c r="AL48" s="147"/>
      <c r="AM48" s="147"/>
      <c r="AO48" s="195"/>
      <c r="AR48" s="121"/>
    </row>
    <row r="49" spans="2:44" ht="6.9" customHeight="1">
      <c r="B49" s="88"/>
      <c r="C49" s="175"/>
      <c r="D49" s="17"/>
      <c r="E49" s="17"/>
      <c r="F49" s="17"/>
      <c r="G49" s="17"/>
      <c r="H49" s="17"/>
      <c r="I49" s="155"/>
      <c r="J49" s="17"/>
      <c r="K49" s="17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4"/>
      <c r="W49" s="154"/>
      <c r="X49" s="154"/>
      <c r="Y49" s="154"/>
      <c r="Z49" s="154"/>
      <c r="AA49" s="154"/>
      <c r="AB49" s="154"/>
      <c r="AC49" s="155"/>
      <c r="AD49" s="155"/>
      <c r="AE49" s="155"/>
      <c r="AF49" s="17"/>
      <c r="AG49" s="155"/>
      <c r="AH49" s="155"/>
      <c r="AI49" s="17"/>
      <c r="AJ49" s="302"/>
      <c r="AK49" s="155"/>
      <c r="AL49" s="155"/>
      <c r="AM49" s="155"/>
      <c r="AN49" s="155"/>
      <c r="AO49" s="155"/>
      <c r="AP49" s="155"/>
      <c r="AQ49" s="155"/>
      <c r="AR49" s="121"/>
    </row>
    <row r="50" spans="2:44" ht="6.9" customHeight="1">
      <c r="B50" s="88"/>
      <c r="C50" s="175"/>
      <c r="D50" s="152"/>
      <c r="E50" s="152"/>
      <c r="F50" s="152"/>
      <c r="G50" s="152"/>
      <c r="H50" s="152"/>
      <c r="I50" s="152"/>
      <c r="J50" s="152"/>
      <c r="K50" s="152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4"/>
      <c r="W50" s="154"/>
      <c r="X50" s="154"/>
      <c r="Y50" s="154"/>
      <c r="Z50" s="154"/>
      <c r="AA50" s="154"/>
      <c r="AB50" s="154"/>
      <c r="AC50" s="155"/>
      <c r="AD50" s="155"/>
      <c r="AE50" s="155"/>
      <c r="AF50" s="17"/>
      <c r="AG50" s="155"/>
      <c r="AH50" s="155"/>
      <c r="AI50" s="17"/>
      <c r="AJ50" s="302"/>
      <c r="AK50" s="155"/>
      <c r="AL50" s="155"/>
      <c r="AM50" s="155"/>
      <c r="AN50" s="155"/>
      <c r="AO50" s="155"/>
      <c r="AP50" s="155"/>
      <c r="AQ50" s="155"/>
      <c r="AR50" s="121"/>
    </row>
    <row r="51" spans="2:44" ht="25.5" customHeight="1">
      <c r="B51" s="88"/>
      <c r="C51" s="175"/>
      <c r="D51" s="441" t="s">
        <v>66</v>
      </c>
      <c r="E51" s="441"/>
      <c r="F51" s="441"/>
      <c r="G51" s="441"/>
      <c r="H51" s="441"/>
      <c r="I51" s="441"/>
      <c r="J51" s="470"/>
      <c r="K51" s="471"/>
      <c r="L51" s="155"/>
      <c r="M51" s="17"/>
      <c r="N51" s="472" t="s">
        <v>68</v>
      </c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387"/>
      <c r="AB51" s="51"/>
      <c r="AC51" s="155"/>
      <c r="AD51" s="441" t="s">
        <v>67</v>
      </c>
      <c r="AE51" s="441"/>
      <c r="AF51" s="441"/>
      <c r="AG51" s="441"/>
      <c r="AH51" s="441"/>
      <c r="AI51" s="441"/>
      <c r="AJ51" s="441"/>
      <c r="AK51" s="441"/>
      <c r="AL51" s="441"/>
      <c r="AM51" s="441"/>
      <c r="AN51" s="441"/>
      <c r="AO51" s="196"/>
      <c r="AP51" s="155"/>
      <c r="AQ51" s="155"/>
      <c r="AR51" s="121"/>
    </row>
    <row r="52" spans="2:44" ht="2.25" customHeight="1">
      <c r="B52" s="88"/>
      <c r="C52" s="175"/>
      <c r="D52" s="152"/>
      <c r="E52" s="152"/>
      <c r="F52" s="152"/>
      <c r="G52" s="152"/>
      <c r="H52" s="152"/>
      <c r="I52" s="152"/>
      <c r="J52" s="152"/>
      <c r="K52" s="152"/>
      <c r="L52" s="155"/>
      <c r="M52" s="155"/>
      <c r="N52" s="473"/>
      <c r="O52" s="473"/>
      <c r="P52" s="473"/>
      <c r="Q52" s="448"/>
      <c r="R52" s="448"/>
      <c r="S52" s="448"/>
      <c r="T52" s="448"/>
      <c r="U52" s="448"/>
      <c r="V52" s="17"/>
      <c r="W52" s="154"/>
      <c r="X52" s="154"/>
      <c r="Y52" s="154"/>
      <c r="Z52" s="154"/>
      <c r="AA52" s="154"/>
      <c r="AB52" s="154"/>
      <c r="AC52" s="155"/>
      <c r="AD52" s="155"/>
      <c r="AE52" s="155"/>
      <c r="AF52" s="155"/>
      <c r="AG52" s="155"/>
      <c r="AH52" s="155"/>
      <c r="AI52" s="155"/>
      <c r="AJ52" s="155"/>
      <c r="AK52" s="155"/>
      <c r="AL52" s="155"/>
      <c r="AM52" s="155"/>
      <c r="AN52" s="154"/>
      <c r="AO52" s="154"/>
      <c r="AP52" s="155"/>
      <c r="AQ52" s="155"/>
      <c r="AR52" s="121"/>
    </row>
    <row r="53" spans="2:44" ht="25.5" customHeight="1">
      <c r="B53" s="88"/>
      <c r="C53" s="175"/>
      <c r="D53" s="496"/>
      <c r="E53" s="496"/>
      <c r="F53" s="496"/>
      <c r="G53" s="496"/>
      <c r="H53" s="496"/>
      <c r="I53" s="496"/>
      <c r="J53" s="152"/>
      <c r="K53" s="152"/>
      <c r="L53" s="155"/>
      <c r="M53" s="17"/>
      <c r="N53" s="17"/>
      <c r="O53" s="441" t="s">
        <v>69</v>
      </c>
      <c r="P53" s="441"/>
      <c r="Q53" s="441"/>
      <c r="R53" s="441"/>
      <c r="S53" s="485"/>
      <c r="T53" s="439"/>
      <c r="U53" s="441" t="s">
        <v>28</v>
      </c>
      <c r="V53" s="441"/>
      <c r="W53" s="437" t="s">
        <v>11</v>
      </c>
      <c r="X53" s="439"/>
      <c r="Y53" s="17"/>
      <c r="Z53" s="154"/>
      <c r="AA53" s="154"/>
      <c r="AB53" s="154"/>
      <c r="AC53" s="155"/>
      <c r="AD53" s="504" t="s">
        <v>101</v>
      </c>
      <c r="AE53" s="504"/>
      <c r="AF53" s="504"/>
      <c r="AG53" s="504"/>
      <c r="AH53" s="504"/>
      <c r="AI53" s="504"/>
      <c r="AJ53" s="504"/>
      <c r="AK53" s="504"/>
      <c r="AL53" s="504"/>
      <c r="AM53" s="504"/>
      <c r="AN53" s="504"/>
      <c r="AO53" s="196"/>
      <c r="AP53" s="155"/>
      <c r="AQ53" s="155"/>
      <c r="AR53" s="121"/>
    </row>
    <row r="54" spans="2:44" ht="8.25" customHeight="1">
      <c r="B54" s="88"/>
      <c r="C54" s="175"/>
      <c r="D54" s="152"/>
      <c r="E54" s="152"/>
      <c r="F54" s="152"/>
      <c r="G54" s="152"/>
      <c r="H54" s="152"/>
      <c r="I54" s="152"/>
      <c r="J54" s="152"/>
      <c r="K54" s="152"/>
      <c r="L54" s="155"/>
      <c r="M54" s="17"/>
      <c r="N54" s="17"/>
      <c r="O54" s="143"/>
      <c r="P54" s="143"/>
      <c r="Q54" s="143"/>
      <c r="R54" s="143"/>
      <c r="S54" s="126"/>
      <c r="T54" s="143"/>
      <c r="U54" s="143"/>
      <c r="V54" s="143"/>
      <c r="W54" s="143"/>
      <c r="X54" s="143"/>
      <c r="Y54" s="17"/>
      <c r="Z54" s="154"/>
      <c r="AA54" s="154"/>
      <c r="AB54" s="154"/>
      <c r="AC54" s="155"/>
      <c r="AD54" s="143"/>
      <c r="AE54" s="143"/>
      <c r="AF54" s="143"/>
      <c r="AG54" s="143"/>
      <c r="AH54" s="143"/>
      <c r="AI54" s="143"/>
      <c r="AJ54" s="143"/>
      <c r="AK54" s="143"/>
      <c r="AL54" s="143"/>
      <c r="AM54" s="143"/>
      <c r="AN54" s="143"/>
      <c r="AO54" s="154"/>
      <c r="AP54" s="155"/>
      <c r="AQ54" s="155"/>
      <c r="AR54" s="121"/>
    </row>
    <row r="55" spans="2:44" ht="24" customHeight="1">
      <c r="B55" s="88"/>
      <c r="C55" s="175"/>
      <c r="D55" s="441" t="s">
        <v>148</v>
      </c>
      <c r="E55" s="441"/>
      <c r="F55" s="441"/>
      <c r="G55" s="441"/>
      <c r="H55" s="442"/>
      <c r="I55" s="309"/>
      <c r="J55" s="339" t="s">
        <v>149</v>
      </c>
      <c r="K55" s="140"/>
      <c r="L55" s="115"/>
      <c r="R55" s="317"/>
      <c r="S55" s="317"/>
      <c r="U55" s="205"/>
      <c r="V55" s="115"/>
      <c r="AE55" s="317"/>
      <c r="AF55" s="205"/>
      <c r="AG55" s="17"/>
      <c r="AH55" s="154"/>
      <c r="AI55" s="154"/>
      <c r="AJ55" s="154"/>
      <c r="AK55" s="155"/>
      <c r="AL55" s="143"/>
      <c r="AM55" s="143"/>
      <c r="AN55" s="143"/>
      <c r="AO55" s="143"/>
      <c r="AP55" s="143"/>
      <c r="AQ55" s="155"/>
      <c r="AR55" s="121"/>
    </row>
    <row r="56" spans="2:44" ht="5.25" customHeight="1">
      <c r="B56" s="88"/>
      <c r="C56" s="175"/>
      <c r="D56" s="352"/>
      <c r="E56" s="352"/>
      <c r="F56" s="352"/>
      <c r="G56" s="352"/>
      <c r="H56" s="352"/>
      <c r="I56" s="317"/>
      <c r="J56" s="339"/>
      <c r="K56" s="140"/>
      <c r="L56" s="115"/>
      <c r="R56" s="318"/>
      <c r="S56" s="318"/>
      <c r="U56" s="205"/>
      <c r="V56" s="115"/>
      <c r="AE56" s="317"/>
      <c r="AF56" s="205"/>
      <c r="AG56" s="17"/>
      <c r="AH56" s="154"/>
      <c r="AI56" s="154"/>
      <c r="AJ56" s="154"/>
      <c r="AK56" s="155"/>
      <c r="AL56" s="143"/>
      <c r="AM56" s="143"/>
      <c r="AN56" s="143"/>
      <c r="AO56" s="143"/>
      <c r="AP56" s="143"/>
      <c r="AQ56" s="155"/>
      <c r="AR56" s="121"/>
    </row>
    <row r="57" spans="2:44" ht="24" customHeight="1">
      <c r="B57" s="88"/>
      <c r="C57" s="175"/>
      <c r="D57" s="352"/>
      <c r="E57" s="352"/>
      <c r="F57" s="352"/>
      <c r="G57" s="352"/>
      <c r="H57" s="352"/>
      <c r="I57" s="310"/>
      <c r="J57" s="339" t="s">
        <v>151</v>
      </c>
      <c r="K57" s="140"/>
      <c r="L57" s="115"/>
      <c r="R57" s="318"/>
      <c r="S57" s="318"/>
      <c r="U57" s="205"/>
      <c r="V57" s="115"/>
      <c r="AE57" s="317"/>
      <c r="AF57" s="205"/>
      <c r="AG57" s="17"/>
      <c r="AH57" s="154"/>
      <c r="AI57" s="154"/>
      <c r="AJ57" s="154"/>
      <c r="AK57" s="155"/>
      <c r="AL57" s="143"/>
      <c r="AM57" s="143"/>
      <c r="AN57" s="143"/>
      <c r="AO57" s="143"/>
      <c r="AP57" s="143"/>
      <c r="AQ57" s="155"/>
      <c r="AR57" s="121"/>
    </row>
    <row r="58" spans="2:44" ht="5.25" customHeight="1">
      <c r="B58" s="88"/>
      <c r="C58" s="175"/>
      <c r="D58" s="352"/>
      <c r="E58" s="352"/>
      <c r="F58" s="352"/>
      <c r="G58" s="352"/>
      <c r="H58" s="352"/>
      <c r="I58" s="317"/>
      <c r="J58" s="339"/>
      <c r="K58" s="140"/>
      <c r="L58" s="115"/>
      <c r="R58" s="318"/>
      <c r="S58" s="318"/>
      <c r="U58" s="205"/>
      <c r="V58" s="115"/>
      <c r="AE58" s="317"/>
      <c r="AF58" s="205"/>
      <c r="AG58" s="17"/>
      <c r="AH58" s="154"/>
      <c r="AI58" s="154"/>
      <c r="AJ58" s="154"/>
      <c r="AK58" s="155"/>
      <c r="AL58" s="143"/>
      <c r="AM58" s="143"/>
      <c r="AN58" s="143"/>
      <c r="AO58" s="143"/>
      <c r="AP58" s="143"/>
      <c r="AQ58" s="155"/>
      <c r="AR58" s="121"/>
    </row>
    <row r="59" spans="2:44" ht="24" customHeight="1">
      <c r="B59" s="88"/>
      <c r="C59" s="175"/>
      <c r="D59" s="352"/>
      <c r="E59" s="352"/>
      <c r="F59" s="352"/>
      <c r="G59" s="352"/>
      <c r="H59" s="352"/>
      <c r="I59" s="310"/>
      <c r="J59" s="339" t="s">
        <v>150</v>
      </c>
      <c r="K59" s="140"/>
      <c r="L59" s="115"/>
      <c r="R59" s="318"/>
      <c r="S59" s="318"/>
      <c r="U59" s="205"/>
      <c r="V59" s="115"/>
      <c r="AE59" s="317"/>
      <c r="AF59" s="205"/>
      <c r="AG59" s="17"/>
      <c r="AH59" s="154"/>
      <c r="AI59" s="154"/>
      <c r="AJ59" s="154"/>
      <c r="AK59" s="155"/>
      <c r="AL59" s="143"/>
      <c r="AM59" s="143"/>
      <c r="AN59" s="143"/>
      <c r="AO59" s="143"/>
      <c r="AP59" s="143"/>
      <c r="AQ59" s="155"/>
      <c r="AR59" s="121"/>
    </row>
    <row r="60" spans="2:44" ht="5.25" customHeight="1">
      <c r="B60" s="88"/>
      <c r="C60" s="175"/>
      <c r="D60" s="352"/>
      <c r="E60" s="352"/>
      <c r="F60" s="352"/>
      <c r="G60" s="352"/>
      <c r="H60" s="352"/>
      <c r="I60" s="317"/>
      <c r="J60" s="339"/>
      <c r="K60" s="140"/>
      <c r="L60" s="115"/>
      <c r="R60" s="318"/>
      <c r="S60" s="318"/>
      <c r="U60" s="205"/>
      <c r="V60" s="115"/>
      <c r="AE60" s="317"/>
      <c r="AF60" s="205"/>
      <c r="AG60" s="17"/>
      <c r="AH60" s="154"/>
      <c r="AI60" s="154"/>
      <c r="AJ60" s="154"/>
      <c r="AK60" s="155"/>
      <c r="AL60" s="143"/>
      <c r="AM60" s="143"/>
      <c r="AN60" s="143"/>
      <c r="AO60" s="143"/>
      <c r="AP60" s="143"/>
      <c r="AQ60" s="155"/>
      <c r="AR60" s="121"/>
    </row>
    <row r="61" spans="2:44" ht="24" customHeight="1">
      <c r="B61" s="88"/>
      <c r="C61" s="175"/>
      <c r="D61" s="352"/>
      <c r="E61" s="352"/>
      <c r="F61" s="352"/>
      <c r="G61" s="352"/>
      <c r="H61" s="352"/>
      <c r="I61" s="309"/>
      <c r="J61" s="339" t="s">
        <v>215</v>
      </c>
      <c r="K61" s="140"/>
      <c r="L61" s="115"/>
      <c r="R61" s="318"/>
      <c r="S61" s="318"/>
      <c r="U61" s="205"/>
      <c r="V61" s="115"/>
      <c r="AB61" s="206"/>
      <c r="AE61" s="317"/>
      <c r="AF61" s="205"/>
      <c r="AG61" s="17"/>
      <c r="AH61" s="154"/>
      <c r="AI61" s="154"/>
      <c r="AJ61" s="154"/>
      <c r="AK61" s="155"/>
      <c r="AL61" s="143"/>
      <c r="AM61" s="143"/>
      <c r="AN61" s="143"/>
      <c r="AO61" s="143"/>
      <c r="AP61" s="143"/>
      <c r="AQ61" s="155"/>
      <c r="AR61" s="121"/>
    </row>
    <row r="62" spans="2:44" ht="4.95" customHeight="1">
      <c r="B62" s="175"/>
      <c r="C62" s="175"/>
      <c r="D62" s="352"/>
      <c r="E62" s="352"/>
      <c r="F62" s="352"/>
      <c r="G62" s="352"/>
      <c r="H62" s="352"/>
      <c r="I62" s="318"/>
      <c r="J62" s="339"/>
      <c r="K62" s="140"/>
      <c r="L62" s="115"/>
      <c r="R62" s="318"/>
      <c r="S62" s="318"/>
      <c r="U62" s="205"/>
      <c r="V62" s="115"/>
      <c r="AB62" s="206"/>
      <c r="AE62" s="317"/>
      <c r="AF62" s="205"/>
      <c r="AG62" s="17"/>
      <c r="AH62" s="154"/>
      <c r="AI62" s="154"/>
      <c r="AJ62" s="154"/>
      <c r="AK62" s="155"/>
      <c r="AL62" s="143"/>
      <c r="AM62" s="143"/>
      <c r="AN62" s="143"/>
      <c r="AO62" s="143"/>
      <c r="AP62" s="143"/>
      <c r="AQ62" s="155"/>
      <c r="AR62" s="175"/>
    </row>
    <row r="63" spans="2:44" ht="24" customHeight="1">
      <c r="B63" s="88"/>
      <c r="C63" s="175"/>
      <c r="D63" s="352"/>
      <c r="E63" s="352"/>
      <c r="F63" s="352"/>
      <c r="G63" s="352"/>
      <c r="H63" s="352"/>
      <c r="I63" s="309"/>
      <c r="J63" s="339" t="s">
        <v>231</v>
      </c>
      <c r="K63" s="140"/>
      <c r="L63" s="115"/>
      <c r="R63" s="318"/>
      <c r="S63" s="318"/>
      <c r="U63" s="205"/>
      <c r="V63" s="115"/>
      <c r="AB63" s="206"/>
      <c r="AE63" s="317"/>
      <c r="AF63" s="205"/>
      <c r="AG63" s="17"/>
      <c r="AH63" s="154"/>
      <c r="AI63" s="154"/>
      <c r="AJ63" s="154"/>
      <c r="AK63" s="155"/>
      <c r="AL63" s="143"/>
      <c r="AM63" s="143"/>
      <c r="AN63" s="143"/>
      <c r="AO63" s="143"/>
      <c r="AP63" s="143"/>
      <c r="AQ63" s="155"/>
      <c r="AR63" s="121"/>
    </row>
    <row r="64" spans="2:44" ht="5.4" customHeight="1">
      <c r="B64" s="175"/>
      <c r="C64" s="175"/>
      <c r="D64" s="352"/>
      <c r="E64" s="352"/>
      <c r="F64" s="352"/>
      <c r="G64" s="352"/>
      <c r="H64" s="352"/>
      <c r="I64" s="318"/>
      <c r="J64" s="206"/>
      <c r="K64" s="115"/>
      <c r="L64" s="115"/>
      <c r="R64" s="318"/>
      <c r="S64" s="318"/>
      <c r="U64" s="205"/>
      <c r="V64" s="115"/>
      <c r="AE64" s="317"/>
      <c r="AF64" s="205"/>
      <c r="AG64" s="17"/>
      <c r="AH64" s="154"/>
      <c r="AI64" s="154"/>
      <c r="AJ64" s="154"/>
      <c r="AK64" s="155"/>
      <c r="AL64" s="143"/>
      <c r="AM64" s="143"/>
      <c r="AN64" s="143"/>
      <c r="AO64" s="143"/>
      <c r="AP64" s="143"/>
      <c r="AQ64" s="155"/>
      <c r="AR64" s="175"/>
    </row>
    <row r="65" spans="2:66" ht="24" customHeight="1">
      <c r="B65" s="175"/>
      <c r="C65" s="175"/>
      <c r="D65" s="352"/>
      <c r="E65" s="352"/>
      <c r="F65" s="450" t="s">
        <v>70</v>
      </c>
      <c r="G65" s="451"/>
      <c r="H65" s="451"/>
      <c r="I65" s="451"/>
      <c r="J65" s="451"/>
      <c r="K65" s="451"/>
      <c r="L65" s="451"/>
      <c r="M65" s="451"/>
      <c r="N65" s="451"/>
      <c r="O65" s="451"/>
      <c r="P65" s="451"/>
      <c r="Q65" s="451"/>
      <c r="R65" s="451"/>
      <c r="S65" s="451"/>
      <c r="T65" s="451"/>
      <c r="U65" s="451"/>
      <c r="V65" s="451"/>
      <c r="W65" s="451"/>
      <c r="X65" s="451"/>
      <c r="Y65" s="451"/>
      <c r="Z65" s="451"/>
      <c r="AA65" s="451"/>
      <c r="AB65" s="451"/>
      <c r="AC65" s="451"/>
      <c r="AD65" s="451"/>
      <c r="AE65" s="452"/>
      <c r="AF65" s="456"/>
      <c r="AG65" s="456"/>
      <c r="AH65" s="456"/>
      <c r="AI65" s="357" t="s">
        <v>209</v>
      </c>
      <c r="AJ65" s="358"/>
      <c r="AK65" s="358"/>
      <c r="AL65" s="358"/>
      <c r="AM65" s="358"/>
      <c r="AN65" s="358"/>
      <c r="AO65" s="359"/>
      <c r="AP65" s="359"/>
      <c r="AQ65" s="155"/>
      <c r="AR65" s="175"/>
    </row>
    <row r="66" spans="2:66" ht="24" customHeight="1">
      <c r="B66" s="175"/>
      <c r="C66" s="175"/>
      <c r="D66" s="352"/>
      <c r="E66" s="352"/>
      <c r="F66" s="453" t="s">
        <v>182</v>
      </c>
      <c r="G66" s="454"/>
      <c r="H66" s="454"/>
      <c r="I66" s="454"/>
      <c r="J66" s="454"/>
      <c r="K66" s="454"/>
      <c r="L66" s="454"/>
      <c r="M66" s="454"/>
      <c r="N66" s="454"/>
      <c r="O66" s="454"/>
      <c r="P66" s="454"/>
      <c r="Q66" s="454"/>
      <c r="R66" s="454"/>
      <c r="S66" s="454"/>
      <c r="T66" s="454"/>
      <c r="U66" s="454"/>
      <c r="V66" s="454"/>
      <c r="W66" s="454"/>
      <c r="X66" s="454"/>
      <c r="Y66" s="454"/>
      <c r="Z66" s="454"/>
      <c r="AA66" s="454"/>
      <c r="AB66" s="454"/>
      <c r="AC66" s="454"/>
      <c r="AD66" s="454"/>
      <c r="AE66" s="455"/>
      <c r="AF66" s="360"/>
      <c r="AG66" s="360"/>
      <c r="AH66" s="360"/>
      <c r="AI66" s="358" t="s">
        <v>212</v>
      </c>
      <c r="AJ66" s="361"/>
      <c r="AK66" s="361"/>
      <c r="AL66" s="407">
        <v>0.30555555555555558</v>
      </c>
      <c r="AM66" s="407"/>
      <c r="AN66" s="358" t="s">
        <v>210</v>
      </c>
      <c r="AO66" s="359"/>
      <c r="AP66" s="359"/>
      <c r="AQ66" s="155"/>
      <c r="AR66" s="175"/>
      <c r="BF66" s="422"/>
      <c r="BG66" s="422"/>
      <c r="BH66" s="422"/>
      <c r="BI66" s="422"/>
      <c r="BJ66" s="422"/>
      <c r="BK66" s="422"/>
      <c r="BL66" s="422"/>
      <c r="BM66" s="422"/>
      <c r="BN66" s="422"/>
    </row>
    <row r="67" spans="2:66" ht="34.200000000000003" customHeight="1">
      <c r="B67" s="175"/>
      <c r="C67" s="175"/>
      <c r="D67" s="352"/>
      <c r="E67" s="352"/>
      <c r="F67" s="411" t="s">
        <v>183</v>
      </c>
      <c r="G67" s="411" t="s">
        <v>184</v>
      </c>
      <c r="H67" s="411"/>
      <c r="I67" s="411" t="s">
        <v>185</v>
      </c>
      <c r="J67" s="411"/>
      <c r="K67" s="411"/>
      <c r="L67" s="411"/>
      <c r="M67" s="411"/>
      <c r="N67" s="411" t="s">
        <v>122</v>
      </c>
      <c r="O67" s="411"/>
      <c r="P67" s="432" t="s">
        <v>186</v>
      </c>
      <c r="Q67" s="432"/>
      <c r="R67" s="432"/>
      <c r="S67" s="432"/>
      <c r="T67" s="436" t="s">
        <v>189</v>
      </c>
      <c r="U67" s="436"/>
      <c r="V67" s="436"/>
      <c r="W67" s="436"/>
      <c r="X67" s="436"/>
      <c r="Y67" s="436"/>
      <c r="Z67" s="436"/>
      <c r="AA67" s="436"/>
      <c r="AB67" s="436"/>
      <c r="AC67" s="436"/>
      <c r="AD67" s="436"/>
      <c r="AE67" s="436"/>
      <c r="AF67" s="360"/>
      <c r="AG67" s="360"/>
      <c r="AH67" s="360"/>
      <c r="AI67" s="358" t="s">
        <v>212</v>
      </c>
      <c r="AJ67" s="361"/>
      <c r="AK67" s="361"/>
      <c r="AL67" s="407">
        <v>1.8333333333333333</v>
      </c>
      <c r="AM67" s="407"/>
      <c r="AN67" s="358" t="s">
        <v>210</v>
      </c>
      <c r="AO67" s="359"/>
      <c r="AP67" s="359"/>
      <c r="AQ67" s="155"/>
      <c r="AR67" s="175"/>
      <c r="BF67" s="423" t="s">
        <v>187</v>
      </c>
      <c r="BG67" s="424"/>
      <c r="BH67" s="424" t="s">
        <v>188</v>
      </c>
      <c r="BI67" s="424"/>
      <c r="BJ67" s="424"/>
      <c r="BK67" s="424" t="s">
        <v>188</v>
      </c>
      <c r="BL67" s="424"/>
      <c r="BM67" s="424"/>
      <c r="BN67" s="427"/>
    </row>
    <row r="68" spans="2:66" ht="29.4" customHeight="1">
      <c r="B68" s="175"/>
      <c r="C68" s="175"/>
      <c r="D68" s="352"/>
      <c r="E68" s="352"/>
      <c r="F68" s="411"/>
      <c r="G68" s="411"/>
      <c r="H68" s="411"/>
      <c r="I68" s="412" t="s">
        <v>122</v>
      </c>
      <c r="J68" s="412"/>
      <c r="K68" s="412"/>
      <c r="L68" s="412" t="s">
        <v>184</v>
      </c>
      <c r="M68" s="412"/>
      <c r="N68" s="411"/>
      <c r="O68" s="411"/>
      <c r="P68" s="432" t="s">
        <v>190</v>
      </c>
      <c r="Q68" s="432"/>
      <c r="R68" s="432" t="s">
        <v>191</v>
      </c>
      <c r="S68" s="432"/>
      <c r="T68" s="419" t="s">
        <v>188</v>
      </c>
      <c r="U68" s="419"/>
      <c r="V68" s="419"/>
      <c r="W68" s="419" t="s">
        <v>192</v>
      </c>
      <c r="X68" s="419"/>
      <c r="Y68" s="419"/>
      <c r="Z68" s="419" t="s">
        <v>193</v>
      </c>
      <c r="AA68" s="419"/>
      <c r="AB68" s="419"/>
      <c r="AC68" s="419" t="s">
        <v>194</v>
      </c>
      <c r="AD68" s="419"/>
      <c r="AE68" s="419"/>
      <c r="AF68" s="360"/>
      <c r="AG68" s="360"/>
      <c r="AH68" s="360"/>
      <c r="AI68" s="358" t="s">
        <v>213</v>
      </c>
      <c r="AJ68" s="361"/>
      <c r="AK68" s="361"/>
      <c r="AL68" s="407">
        <v>9.1666666666666661</v>
      </c>
      <c r="AM68" s="407"/>
      <c r="AN68" s="358" t="s">
        <v>210</v>
      </c>
      <c r="AO68" s="359"/>
      <c r="AP68" s="359"/>
      <c r="AQ68" s="155"/>
      <c r="AR68" s="175"/>
      <c r="BF68" s="423"/>
      <c r="BG68" s="424"/>
      <c r="BH68" s="424"/>
      <c r="BI68" s="424"/>
      <c r="BJ68" s="424"/>
      <c r="BK68" s="424"/>
      <c r="BL68" s="424"/>
      <c r="BM68" s="424"/>
      <c r="BN68" s="427"/>
    </row>
    <row r="69" spans="2:66" ht="18" customHeight="1">
      <c r="B69" s="175"/>
      <c r="C69" s="175"/>
      <c r="D69" s="352"/>
      <c r="E69" s="352"/>
      <c r="F69" s="391" t="s">
        <v>195</v>
      </c>
      <c r="G69" s="410"/>
      <c r="H69" s="410"/>
      <c r="I69" s="410"/>
      <c r="J69" s="410"/>
      <c r="K69" s="410"/>
      <c r="L69" s="410"/>
      <c r="M69" s="410"/>
      <c r="N69" s="410"/>
      <c r="O69" s="415"/>
      <c r="P69" s="433">
        <f t="shared" ref="P69:P75" si="0">MOD(I69-G69,1)+MOD(N69-L69,1)</f>
        <v>0</v>
      </c>
      <c r="Q69" s="434"/>
      <c r="R69" s="413" t="str">
        <f t="shared" ref="R69:R75" si="1">IF(T69=0,"",P69+W69)</f>
        <v/>
      </c>
      <c r="S69" s="414"/>
      <c r="T69" s="420">
        <f t="shared" ref="T69:T75" si="2">IF(BH69=0,0,BF69-BH69)</f>
        <v>0</v>
      </c>
      <c r="U69" s="421"/>
      <c r="V69" s="421"/>
      <c r="W69" s="435">
        <f t="shared" ref="W69:W75" si="3">MOD(Z69-T69,1)</f>
        <v>0</v>
      </c>
      <c r="X69" s="435"/>
      <c r="Y69" s="435"/>
      <c r="Z69" s="435">
        <f t="shared" ref="Z69:Z75" si="4">T69/52.5*60</f>
        <v>0</v>
      </c>
      <c r="AA69" s="435"/>
      <c r="AB69" s="435"/>
      <c r="AC69" s="435" t="str">
        <f t="shared" ref="AC69:AC75" si="5">IF(T69=0,"",R69-Z69)</f>
        <v/>
      </c>
      <c r="AD69" s="435"/>
      <c r="AE69" s="435"/>
      <c r="AF69" s="361"/>
      <c r="AG69" s="357" t="s">
        <v>211</v>
      </c>
      <c r="AH69" s="361"/>
      <c r="AI69" s="361"/>
      <c r="AJ69" s="361"/>
      <c r="AK69" s="361"/>
      <c r="AL69" s="361"/>
      <c r="AM69" s="361"/>
      <c r="AN69" s="361"/>
      <c r="AO69" s="362"/>
      <c r="AP69" s="359"/>
      <c r="AQ69" s="155"/>
      <c r="AR69" s="175"/>
      <c r="BF69" s="425">
        <v>0.91666666666666696</v>
      </c>
      <c r="BG69" s="426"/>
      <c r="BH69" s="431">
        <f t="shared" ref="BH69:BH75" si="6">IF(N69&lt;=BF69,0,MOD(BF69-BK69,1))</f>
        <v>0</v>
      </c>
      <c r="BI69" s="425"/>
      <c r="BJ69" s="426"/>
      <c r="BK69" s="403">
        <f t="shared" ref="BK69:BK75" si="7">IF(P69=0,0,IF(I69&lt;=BF69,MOD(N69-BF69,1),MOD(N69-L69,1)+MOD(I69-BF69,1)))</f>
        <v>0</v>
      </c>
      <c r="BL69" s="404"/>
      <c r="BM69" s="404"/>
      <c r="BN69" s="405"/>
    </row>
    <row r="70" spans="2:66" ht="18" customHeight="1">
      <c r="B70" s="175"/>
      <c r="C70" s="175"/>
      <c r="D70" s="352"/>
      <c r="E70" s="352"/>
      <c r="F70" s="391" t="s">
        <v>196</v>
      </c>
      <c r="G70" s="410"/>
      <c r="H70" s="410"/>
      <c r="I70" s="410"/>
      <c r="J70" s="410"/>
      <c r="K70" s="410"/>
      <c r="L70" s="410"/>
      <c r="M70" s="410"/>
      <c r="N70" s="410"/>
      <c r="O70" s="415"/>
      <c r="P70" s="433">
        <f t="shared" si="0"/>
        <v>0</v>
      </c>
      <c r="Q70" s="434"/>
      <c r="R70" s="413" t="str">
        <f t="shared" si="1"/>
        <v/>
      </c>
      <c r="S70" s="414"/>
      <c r="T70" s="420">
        <f t="shared" si="2"/>
        <v>0</v>
      </c>
      <c r="U70" s="421"/>
      <c r="V70" s="421"/>
      <c r="W70" s="435">
        <f t="shared" si="3"/>
        <v>0</v>
      </c>
      <c r="X70" s="435"/>
      <c r="Y70" s="435"/>
      <c r="Z70" s="435">
        <f t="shared" si="4"/>
        <v>0</v>
      </c>
      <c r="AA70" s="435"/>
      <c r="AB70" s="435"/>
      <c r="AC70" s="435" t="str">
        <f t="shared" si="5"/>
        <v/>
      </c>
      <c r="AD70" s="435"/>
      <c r="AE70" s="435"/>
      <c r="AF70" s="361"/>
      <c r="AG70" s="363" t="s">
        <v>214</v>
      </c>
      <c r="AH70" s="361"/>
      <c r="AI70" s="360"/>
      <c r="AJ70" s="358" t="s">
        <v>222</v>
      </c>
      <c r="AK70" s="358"/>
      <c r="AL70" s="361"/>
      <c r="AM70" s="361"/>
      <c r="AN70" s="361"/>
      <c r="AO70" s="362"/>
      <c r="AP70" s="359"/>
      <c r="AQ70" s="155"/>
      <c r="AR70" s="175"/>
      <c r="BF70" s="425">
        <v>0.91666666666666696</v>
      </c>
      <c r="BG70" s="426"/>
      <c r="BH70" s="431">
        <f t="shared" si="6"/>
        <v>0</v>
      </c>
      <c r="BI70" s="425"/>
      <c r="BJ70" s="426"/>
      <c r="BK70" s="403">
        <f t="shared" si="7"/>
        <v>0</v>
      </c>
      <c r="BL70" s="404"/>
      <c r="BM70" s="404"/>
      <c r="BN70" s="405"/>
    </row>
    <row r="71" spans="2:66" ht="18" customHeight="1">
      <c r="B71" s="175"/>
      <c r="C71" s="175"/>
      <c r="D71" s="352"/>
      <c r="E71" s="352"/>
      <c r="F71" s="391" t="s">
        <v>197</v>
      </c>
      <c r="G71" s="410"/>
      <c r="H71" s="410"/>
      <c r="I71" s="410"/>
      <c r="J71" s="410"/>
      <c r="K71" s="410"/>
      <c r="L71" s="410"/>
      <c r="M71" s="410"/>
      <c r="N71" s="410"/>
      <c r="O71" s="415"/>
      <c r="P71" s="433">
        <f t="shared" si="0"/>
        <v>0</v>
      </c>
      <c r="Q71" s="434"/>
      <c r="R71" s="413" t="str">
        <f t="shared" si="1"/>
        <v/>
      </c>
      <c r="S71" s="414"/>
      <c r="T71" s="420">
        <f t="shared" si="2"/>
        <v>0</v>
      </c>
      <c r="U71" s="421"/>
      <c r="V71" s="421"/>
      <c r="W71" s="435">
        <f t="shared" si="3"/>
        <v>0</v>
      </c>
      <c r="X71" s="435"/>
      <c r="Y71" s="435"/>
      <c r="Z71" s="435">
        <f t="shared" si="4"/>
        <v>0</v>
      </c>
      <c r="AA71" s="435"/>
      <c r="AB71" s="435"/>
      <c r="AC71" s="435" t="str">
        <f t="shared" si="5"/>
        <v/>
      </c>
      <c r="AD71" s="435"/>
      <c r="AE71" s="435"/>
      <c r="AF71" s="361"/>
      <c r="AG71" s="361"/>
      <c r="AH71" s="361"/>
      <c r="AI71" s="358" t="s">
        <v>216</v>
      </c>
      <c r="AJ71" s="358"/>
      <c r="AK71" s="358"/>
      <c r="AL71" s="361"/>
      <c r="AM71" s="361"/>
      <c r="AN71" s="361"/>
      <c r="AO71" s="362"/>
      <c r="AP71" s="359"/>
      <c r="AQ71" s="155"/>
      <c r="AR71" s="175"/>
      <c r="BF71" s="425">
        <v>0.91666666666666696</v>
      </c>
      <c r="BG71" s="426"/>
      <c r="BH71" s="431">
        <f t="shared" si="6"/>
        <v>0</v>
      </c>
      <c r="BI71" s="425"/>
      <c r="BJ71" s="426"/>
      <c r="BK71" s="403">
        <f t="shared" si="7"/>
        <v>0</v>
      </c>
      <c r="BL71" s="404"/>
      <c r="BM71" s="404"/>
      <c r="BN71" s="405"/>
    </row>
    <row r="72" spans="2:66" ht="18" customHeight="1">
      <c r="B72" s="175"/>
      <c r="C72" s="175"/>
      <c r="D72" s="352"/>
      <c r="E72" s="352"/>
      <c r="F72" s="391" t="s">
        <v>198</v>
      </c>
      <c r="G72" s="410"/>
      <c r="H72" s="410"/>
      <c r="I72" s="410"/>
      <c r="J72" s="410"/>
      <c r="K72" s="410"/>
      <c r="L72" s="410"/>
      <c r="M72" s="410"/>
      <c r="N72" s="410"/>
      <c r="O72" s="415"/>
      <c r="P72" s="433">
        <f t="shared" si="0"/>
        <v>0</v>
      </c>
      <c r="Q72" s="434"/>
      <c r="R72" s="413" t="str">
        <f t="shared" si="1"/>
        <v/>
      </c>
      <c r="S72" s="414"/>
      <c r="T72" s="420">
        <f t="shared" si="2"/>
        <v>0</v>
      </c>
      <c r="U72" s="421"/>
      <c r="V72" s="421"/>
      <c r="W72" s="435">
        <f t="shared" si="3"/>
        <v>0</v>
      </c>
      <c r="X72" s="435"/>
      <c r="Y72" s="435"/>
      <c r="Z72" s="435">
        <f t="shared" si="4"/>
        <v>0</v>
      </c>
      <c r="AA72" s="435"/>
      <c r="AB72" s="435"/>
      <c r="AC72" s="435" t="str">
        <f t="shared" si="5"/>
        <v/>
      </c>
      <c r="AD72" s="435"/>
      <c r="AE72" s="435"/>
      <c r="AF72" s="361"/>
      <c r="AG72" s="361"/>
      <c r="AH72" s="361"/>
      <c r="AI72" s="358" t="s">
        <v>217</v>
      </c>
      <c r="AJ72" s="358"/>
      <c r="AK72" s="358"/>
      <c r="AL72" s="361"/>
      <c r="AM72" s="361"/>
      <c r="AN72" s="361"/>
      <c r="AO72" s="362"/>
      <c r="AP72" s="359"/>
      <c r="AQ72" s="155"/>
      <c r="AR72" s="175"/>
      <c r="BF72" s="425">
        <v>0.91666666666666696</v>
      </c>
      <c r="BG72" s="426"/>
      <c r="BH72" s="431">
        <f t="shared" si="6"/>
        <v>0</v>
      </c>
      <c r="BI72" s="425"/>
      <c r="BJ72" s="426"/>
      <c r="BK72" s="403">
        <f t="shared" si="7"/>
        <v>0</v>
      </c>
      <c r="BL72" s="404"/>
      <c r="BM72" s="404"/>
      <c r="BN72" s="405"/>
    </row>
    <row r="73" spans="2:66" ht="18" customHeight="1">
      <c r="B73" s="175"/>
      <c r="C73" s="175"/>
      <c r="D73" s="352"/>
      <c r="E73" s="352"/>
      <c r="F73" s="391" t="s">
        <v>199</v>
      </c>
      <c r="G73" s="410"/>
      <c r="H73" s="410"/>
      <c r="I73" s="410"/>
      <c r="J73" s="410"/>
      <c r="K73" s="410"/>
      <c r="L73" s="410"/>
      <c r="M73" s="410"/>
      <c r="N73" s="410"/>
      <c r="O73" s="415"/>
      <c r="P73" s="433">
        <f t="shared" si="0"/>
        <v>0</v>
      </c>
      <c r="Q73" s="434"/>
      <c r="R73" s="413" t="str">
        <f t="shared" si="1"/>
        <v/>
      </c>
      <c r="S73" s="414"/>
      <c r="T73" s="420">
        <f t="shared" si="2"/>
        <v>0</v>
      </c>
      <c r="U73" s="421"/>
      <c r="V73" s="421"/>
      <c r="W73" s="435">
        <f t="shared" si="3"/>
        <v>0</v>
      </c>
      <c r="X73" s="435"/>
      <c r="Y73" s="435"/>
      <c r="Z73" s="435">
        <f t="shared" si="4"/>
        <v>0</v>
      </c>
      <c r="AA73" s="435"/>
      <c r="AB73" s="435"/>
      <c r="AC73" s="435" t="str">
        <f t="shared" si="5"/>
        <v/>
      </c>
      <c r="AD73" s="435"/>
      <c r="AE73" s="435"/>
      <c r="AF73" s="361"/>
      <c r="AG73" s="361"/>
      <c r="AH73" s="361"/>
      <c r="AI73" s="358" t="s">
        <v>218</v>
      </c>
      <c r="AJ73" s="358"/>
      <c r="AK73" s="358"/>
      <c r="AL73" s="361"/>
      <c r="AM73" s="361"/>
      <c r="AN73" s="361"/>
      <c r="AO73" s="362"/>
      <c r="AP73" s="359"/>
      <c r="AQ73" s="155"/>
      <c r="AR73" s="175"/>
      <c r="BF73" s="425">
        <v>0.91666666666666696</v>
      </c>
      <c r="BG73" s="426"/>
      <c r="BH73" s="431">
        <f t="shared" si="6"/>
        <v>0</v>
      </c>
      <c r="BI73" s="425"/>
      <c r="BJ73" s="426"/>
      <c r="BK73" s="403">
        <f t="shared" si="7"/>
        <v>0</v>
      </c>
      <c r="BL73" s="404"/>
      <c r="BM73" s="404"/>
      <c r="BN73" s="405"/>
    </row>
    <row r="74" spans="2:66" ht="18" customHeight="1">
      <c r="B74" s="175"/>
      <c r="C74" s="175"/>
      <c r="D74" s="352"/>
      <c r="E74" s="352"/>
      <c r="F74" s="391" t="s">
        <v>200</v>
      </c>
      <c r="G74" s="410"/>
      <c r="H74" s="410"/>
      <c r="I74" s="410"/>
      <c r="J74" s="410"/>
      <c r="K74" s="410"/>
      <c r="L74" s="410"/>
      <c r="M74" s="410"/>
      <c r="N74" s="410"/>
      <c r="O74" s="415"/>
      <c r="P74" s="433">
        <f t="shared" si="0"/>
        <v>0</v>
      </c>
      <c r="Q74" s="434"/>
      <c r="R74" s="413" t="str">
        <f t="shared" si="1"/>
        <v/>
      </c>
      <c r="S74" s="414"/>
      <c r="T74" s="420">
        <f t="shared" si="2"/>
        <v>0</v>
      </c>
      <c r="U74" s="421"/>
      <c r="V74" s="421"/>
      <c r="W74" s="435">
        <f t="shared" si="3"/>
        <v>0</v>
      </c>
      <c r="X74" s="435"/>
      <c r="Y74" s="435"/>
      <c r="Z74" s="435">
        <f t="shared" si="4"/>
        <v>0</v>
      </c>
      <c r="AA74" s="435"/>
      <c r="AB74" s="435"/>
      <c r="AC74" s="435" t="str">
        <f t="shared" si="5"/>
        <v/>
      </c>
      <c r="AD74" s="435"/>
      <c r="AE74" s="435"/>
      <c r="AF74" s="361"/>
      <c r="AG74" s="361"/>
      <c r="AH74" s="361"/>
      <c r="AI74" s="358" t="s">
        <v>219</v>
      </c>
      <c r="AJ74" s="358"/>
      <c r="AK74" s="358"/>
      <c r="AL74" s="361"/>
      <c r="AM74" s="361"/>
      <c r="AN74" s="361"/>
      <c r="AO74" s="362"/>
      <c r="AP74" s="359"/>
      <c r="AQ74" s="155"/>
      <c r="AR74" s="175"/>
      <c r="BF74" s="425">
        <v>0.91666666666666696</v>
      </c>
      <c r="BG74" s="426"/>
      <c r="BH74" s="431">
        <f t="shared" si="6"/>
        <v>0</v>
      </c>
      <c r="BI74" s="425"/>
      <c r="BJ74" s="426"/>
      <c r="BK74" s="403">
        <f t="shared" si="7"/>
        <v>0</v>
      </c>
      <c r="BL74" s="404"/>
      <c r="BM74" s="404"/>
      <c r="BN74" s="405"/>
    </row>
    <row r="75" spans="2:66" ht="18" customHeight="1">
      <c r="B75" s="175"/>
      <c r="C75" s="175"/>
      <c r="D75" s="352"/>
      <c r="E75" s="352"/>
      <c r="F75" s="391" t="s">
        <v>201</v>
      </c>
      <c r="G75" s="410"/>
      <c r="H75" s="410"/>
      <c r="I75" s="410"/>
      <c r="J75" s="410"/>
      <c r="K75" s="410"/>
      <c r="L75" s="410"/>
      <c r="M75" s="410"/>
      <c r="N75" s="410"/>
      <c r="O75" s="415"/>
      <c r="P75" s="433">
        <f t="shared" si="0"/>
        <v>0</v>
      </c>
      <c r="Q75" s="434"/>
      <c r="R75" s="413" t="str">
        <f t="shared" si="1"/>
        <v/>
      </c>
      <c r="S75" s="414"/>
      <c r="T75" s="420">
        <f t="shared" si="2"/>
        <v>0</v>
      </c>
      <c r="U75" s="421"/>
      <c r="V75" s="421"/>
      <c r="W75" s="435">
        <f t="shared" si="3"/>
        <v>0</v>
      </c>
      <c r="X75" s="435"/>
      <c r="Y75" s="435"/>
      <c r="Z75" s="435">
        <f t="shared" si="4"/>
        <v>0</v>
      </c>
      <c r="AA75" s="435"/>
      <c r="AB75" s="435"/>
      <c r="AC75" s="435" t="str">
        <f t="shared" si="5"/>
        <v/>
      </c>
      <c r="AD75" s="435"/>
      <c r="AE75" s="435"/>
      <c r="AF75" s="361"/>
      <c r="AG75" s="361"/>
      <c r="AH75" s="361"/>
      <c r="AI75" s="358" t="s">
        <v>220</v>
      </c>
      <c r="AJ75" s="358"/>
      <c r="AK75" s="358"/>
      <c r="AL75" s="361"/>
      <c r="AM75" s="361"/>
      <c r="AN75" s="361"/>
      <c r="AO75" s="362"/>
      <c r="AP75" s="359"/>
      <c r="AQ75" s="155"/>
      <c r="AR75" s="175"/>
      <c r="BF75" s="425">
        <v>0.91666666666666696</v>
      </c>
      <c r="BG75" s="426"/>
      <c r="BH75" s="431">
        <f t="shared" si="6"/>
        <v>0</v>
      </c>
      <c r="BI75" s="425"/>
      <c r="BJ75" s="426"/>
      <c r="BK75" s="403">
        <f t="shared" si="7"/>
        <v>0</v>
      </c>
      <c r="BL75" s="404"/>
      <c r="BM75" s="404"/>
      <c r="BN75" s="405"/>
    </row>
    <row r="76" spans="2:66" ht="18" customHeight="1">
      <c r="B76" s="175"/>
      <c r="C76" s="175"/>
      <c r="D76" s="352"/>
      <c r="E76" s="352"/>
      <c r="F76" s="392"/>
      <c r="G76" s="393"/>
      <c r="H76" s="393"/>
      <c r="I76" s="394" t="s">
        <v>202</v>
      </c>
      <c r="J76" s="394"/>
      <c r="K76" s="394"/>
      <c r="L76" s="393"/>
      <c r="M76" s="393"/>
      <c r="N76" s="393"/>
      <c r="O76" s="395"/>
      <c r="P76" s="461">
        <f>SUM(P69:P75)</f>
        <v>0</v>
      </c>
      <c r="Q76" s="461"/>
      <c r="R76" s="461">
        <f>SUM(R69:R75)</f>
        <v>0</v>
      </c>
      <c r="S76" s="462"/>
      <c r="T76" s="475">
        <f>SUM(T69:T75)</f>
        <v>0</v>
      </c>
      <c r="U76" s="457"/>
      <c r="V76" s="457"/>
      <c r="W76" s="474">
        <f>R76-P76</f>
        <v>0</v>
      </c>
      <c r="X76" s="474"/>
      <c r="Y76" s="474"/>
      <c r="Z76" s="457">
        <f>SUM(Z69:Z75)</f>
        <v>0</v>
      </c>
      <c r="AA76" s="457"/>
      <c r="AB76" s="457"/>
      <c r="AC76" s="457">
        <f>SUM(AC69:AC75)</f>
        <v>0</v>
      </c>
      <c r="AD76" s="457"/>
      <c r="AE76" s="457"/>
      <c r="AF76" s="361"/>
      <c r="AG76" s="361"/>
      <c r="AH76" s="361"/>
      <c r="AI76" s="358" t="s">
        <v>221</v>
      </c>
      <c r="AJ76" s="358"/>
      <c r="AK76" s="358"/>
      <c r="AL76" s="361"/>
      <c r="AM76" s="361"/>
      <c r="AN76" s="361"/>
      <c r="AO76" s="362"/>
      <c r="AP76" s="359"/>
      <c r="AQ76" s="155"/>
      <c r="AR76" s="175"/>
      <c r="BF76" s="429">
        <f>SUM(BF69:BF75)</f>
        <v>6.4166666666666687</v>
      </c>
      <c r="BG76" s="430"/>
      <c r="BH76" s="428">
        <f>SUM(BH69:BH75)</f>
        <v>0</v>
      </c>
      <c r="BI76" s="429"/>
      <c r="BJ76" s="430"/>
      <c r="BK76" s="416">
        <f>SUM(BK69:BK75)</f>
        <v>0</v>
      </c>
      <c r="BL76" s="417"/>
      <c r="BM76" s="417"/>
      <c r="BN76" s="418"/>
    </row>
    <row r="77" spans="2:66" ht="14.4" customHeight="1">
      <c r="B77" s="175"/>
      <c r="C77" s="175"/>
      <c r="D77" s="352"/>
      <c r="E77" s="352"/>
      <c r="F77" s="365"/>
      <c r="G77" s="365"/>
      <c r="H77" s="365"/>
      <c r="I77" s="333"/>
      <c r="J77" s="334"/>
      <c r="K77" s="335"/>
      <c r="L77" s="335"/>
      <c r="M77" s="279"/>
      <c r="N77" s="279"/>
      <c r="O77" s="279"/>
      <c r="P77" s="279"/>
      <c r="Q77" s="279"/>
      <c r="R77" s="333"/>
      <c r="S77" s="333"/>
      <c r="T77" s="279"/>
      <c r="U77" s="334"/>
      <c r="V77" s="335"/>
      <c r="W77" s="279"/>
      <c r="X77" s="279"/>
      <c r="Y77" s="279"/>
      <c r="Z77" s="279"/>
      <c r="AA77" s="279"/>
      <c r="AB77" s="279"/>
      <c r="AC77" s="279"/>
      <c r="AD77" s="279"/>
      <c r="AE77" s="279"/>
      <c r="AF77" s="205"/>
      <c r="AG77" s="17"/>
      <c r="AH77" s="154"/>
      <c r="AI77" s="154"/>
      <c r="AJ77" s="154"/>
      <c r="AK77" s="155"/>
      <c r="AL77" s="143"/>
      <c r="AM77" s="143"/>
      <c r="AN77" s="143"/>
      <c r="AO77" s="143"/>
      <c r="AP77" s="143"/>
      <c r="AQ77" s="155"/>
      <c r="AR77" s="175"/>
    </row>
    <row r="78" spans="2:66" ht="24" customHeight="1">
      <c r="B78" s="175"/>
      <c r="C78" s="175"/>
      <c r="D78" s="352"/>
      <c r="E78" s="352"/>
      <c r="F78" s="354"/>
      <c r="G78" s="355"/>
      <c r="H78" s="355"/>
      <c r="I78" s="356"/>
      <c r="J78" s="356"/>
      <c r="K78" s="356"/>
      <c r="L78" s="356"/>
      <c r="M78" s="406" t="s">
        <v>203</v>
      </c>
      <c r="N78" s="406"/>
      <c r="O78" s="406"/>
      <c r="P78" s="406" t="s">
        <v>204</v>
      </c>
      <c r="Q78" s="406"/>
      <c r="R78" s="406"/>
      <c r="S78" s="406"/>
      <c r="T78" s="406" t="s">
        <v>205</v>
      </c>
      <c r="U78" s="406"/>
      <c r="V78" s="406"/>
      <c r="W78" s="279"/>
      <c r="X78" s="279"/>
      <c r="Y78" s="279"/>
      <c r="Z78" s="279"/>
      <c r="AA78" s="279"/>
      <c r="AB78" s="279"/>
      <c r="AC78" s="279"/>
      <c r="AD78" s="279"/>
      <c r="AE78" s="279"/>
      <c r="AF78" s="205"/>
      <c r="AG78" s="17"/>
      <c r="AH78" s="154"/>
      <c r="AI78" s="154"/>
      <c r="AJ78" s="154"/>
      <c r="AK78" s="155"/>
      <c r="AL78" s="143"/>
      <c r="AM78" s="143"/>
      <c r="AN78" s="143"/>
      <c r="AO78" s="143"/>
      <c r="AP78" s="143"/>
      <c r="AQ78" s="155"/>
      <c r="AR78" s="175"/>
    </row>
    <row r="79" spans="2:66" ht="16.2" customHeight="1">
      <c r="B79" s="175"/>
      <c r="C79" s="175"/>
      <c r="D79" s="352"/>
      <c r="E79" s="352"/>
      <c r="F79" s="406" t="s">
        <v>206</v>
      </c>
      <c r="G79" s="406"/>
      <c r="H79" s="406"/>
      <c r="I79" s="406"/>
      <c r="J79" s="406"/>
      <c r="K79" s="406"/>
      <c r="L79" s="406"/>
      <c r="M79" s="515">
        <f>P76</f>
        <v>0</v>
      </c>
      <c r="N79" s="515"/>
      <c r="O79" s="515"/>
      <c r="P79" s="516">
        <f>R76</f>
        <v>0</v>
      </c>
      <c r="Q79" s="516"/>
      <c r="R79" s="516"/>
      <c r="S79" s="516"/>
      <c r="T79" s="408" t="str">
        <f>IF(P79&lt;=AL67,"",P79-AL67)</f>
        <v/>
      </c>
      <c r="U79" s="409"/>
      <c r="V79" s="409"/>
      <c r="W79" s="279"/>
      <c r="X79" s="279"/>
      <c r="Y79" s="279"/>
      <c r="Z79" s="279"/>
      <c r="AA79" s="279"/>
      <c r="AB79" s="279"/>
      <c r="AC79" s="279"/>
      <c r="AD79" s="279"/>
      <c r="AE79" s="279"/>
      <c r="AF79" s="205"/>
      <c r="AG79" s="17"/>
      <c r="AH79" s="154"/>
      <c r="AI79" s="154"/>
      <c r="AJ79" s="154"/>
      <c r="AK79" s="155"/>
      <c r="AL79" s="143"/>
      <c r="AM79" s="143"/>
      <c r="AN79" s="143"/>
      <c r="AO79" s="143"/>
      <c r="AP79" s="143"/>
      <c r="AQ79" s="155"/>
      <c r="AR79" s="175"/>
    </row>
    <row r="80" spans="2:66" ht="16.2" customHeight="1">
      <c r="B80" s="175"/>
      <c r="C80" s="175"/>
      <c r="D80" s="352"/>
      <c r="E80" s="352"/>
      <c r="F80" s="406" t="s">
        <v>207</v>
      </c>
      <c r="G80" s="406"/>
      <c r="H80" s="406"/>
      <c r="I80" s="406"/>
      <c r="J80" s="406"/>
      <c r="K80" s="406"/>
      <c r="L80" s="406"/>
      <c r="M80" s="515">
        <f>M79*5</f>
        <v>0</v>
      </c>
      <c r="N80" s="515"/>
      <c r="O80" s="515"/>
      <c r="P80" s="516">
        <f>P79*5</f>
        <v>0</v>
      </c>
      <c r="Q80" s="516"/>
      <c r="R80" s="516"/>
      <c r="S80" s="516"/>
      <c r="T80" s="408" t="str">
        <f>IF(P80&lt;=AL68,"",P80-AL68)</f>
        <v/>
      </c>
      <c r="U80" s="409"/>
      <c r="V80" s="409"/>
      <c r="W80" s="279"/>
      <c r="X80" s="279"/>
      <c r="Y80" s="279"/>
      <c r="Z80" s="279"/>
      <c r="AA80" s="279"/>
      <c r="AB80" s="279"/>
      <c r="AC80" s="279"/>
      <c r="AD80" s="279"/>
      <c r="AE80" s="279"/>
      <c r="AF80" s="205"/>
      <c r="AG80" s="17"/>
      <c r="AH80" s="154"/>
      <c r="AI80" s="154"/>
      <c r="AJ80" s="154"/>
      <c r="AK80" s="155"/>
      <c r="AL80" s="143"/>
      <c r="AM80" s="143"/>
      <c r="AN80" s="143"/>
      <c r="AO80" s="143"/>
      <c r="AP80" s="143"/>
      <c r="AQ80" s="155"/>
      <c r="AR80" s="175"/>
    </row>
    <row r="81" spans="2:54" ht="16.2" customHeight="1">
      <c r="B81" s="175"/>
      <c r="C81" s="175"/>
      <c r="D81" s="352"/>
      <c r="E81" s="352"/>
      <c r="F81" s="406" t="s">
        <v>208</v>
      </c>
      <c r="G81" s="406"/>
      <c r="H81" s="406"/>
      <c r="I81" s="406"/>
      <c r="J81" s="406"/>
      <c r="K81" s="406"/>
      <c r="L81" s="406"/>
      <c r="M81" s="515">
        <f>M79/6</f>
        <v>0</v>
      </c>
      <c r="N81" s="515"/>
      <c r="O81" s="515"/>
      <c r="P81" s="516">
        <f>P79/6</f>
        <v>0</v>
      </c>
      <c r="Q81" s="516"/>
      <c r="R81" s="516"/>
      <c r="S81" s="516"/>
      <c r="T81" s="408" t="str">
        <f>IF(P81&lt;=AL66,"",P81-AL66)</f>
        <v/>
      </c>
      <c r="U81" s="409"/>
      <c r="V81" s="409"/>
      <c r="W81" s="279"/>
      <c r="X81" s="279"/>
      <c r="Y81" s="279"/>
      <c r="Z81" s="279"/>
      <c r="AA81" s="279"/>
      <c r="AB81" s="279"/>
      <c r="AC81" s="279"/>
      <c r="AD81" s="279"/>
      <c r="AE81" s="279"/>
      <c r="AF81" s="205"/>
      <c r="AG81" s="17"/>
      <c r="AH81" s="154"/>
      <c r="AI81" s="154"/>
      <c r="AJ81" s="154"/>
      <c r="AK81" s="155"/>
      <c r="AL81" s="143"/>
      <c r="AM81" s="143"/>
      <c r="AN81" s="143"/>
      <c r="AO81" s="143"/>
      <c r="AP81" s="143"/>
      <c r="AQ81" s="155"/>
      <c r="AR81" s="175"/>
    </row>
    <row r="82" spans="2:54" ht="24" customHeight="1">
      <c r="B82" s="175"/>
      <c r="C82" s="175"/>
      <c r="D82" s="352"/>
      <c r="E82" s="352"/>
      <c r="F82" s="26"/>
      <c r="G82" s="26"/>
      <c r="H82" s="26"/>
      <c r="I82" s="26"/>
      <c r="J82" s="26"/>
      <c r="K82" s="26"/>
      <c r="L82" s="279"/>
      <c r="M82" s="279"/>
      <c r="N82" s="26"/>
      <c r="O82" s="26"/>
      <c r="P82" s="26"/>
      <c r="Q82" s="26"/>
      <c r="R82" s="336" t="s">
        <v>115</v>
      </c>
      <c r="S82" s="337"/>
      <c r="T82" s="333"/>
      <c r="U82" s="334"/>
      <c r="V82" s="335"/>
      <c r="W82" s="279"/>
      <c r="X82" s="279"/>
      <c r="Y82" s="279"/>
      <c r="Z82" s="279"/>
      <c r="AA82" s="279"/>
      <c r="AB82" s="279"/>
      <c r="AC82" s="279"/>
      <c r="AD82" s="279"/>
      <c r="AE82" s="279"/>
      <c r="AF82" s="205"/>
      <c r="AG82" s="17"/>
      <c r="AH82" s="154"/>
      <c r="AI82" s="154"/>
      <c r="AJ82" s="154"/>
      <c r="AK82" s="155"/>
      <c r="AL82" s="143"/>
      <c r="AM82" s="143"/>
      <c r="AN82" s="143"/>
      <c r="AO82" s="143"/>
      <c r="AP82" s="143"/>
      <c r="AQ82" s="155"/>
      <c r="AR82" s="175"/>
    </row>
    <row r="83" spans="2:54">
      <c r="B83" s="88"/>
      <c r="C83" s="175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21"/>
      <c r="AW83" s="319"/>
    </row>
    <row r="84" spans="2:54" ht="21" customHeight="1">
      <c r="B84" s="88"/>
      <c r="C84" s="175"/>
      <c r="D84" s="441" t="s">
        <v>153</v>
      </c>
      <c r="E84" s="441"/>
      <c r="F84" s="441"/>
      <c r="G84" s="441"/>
      <c r="H84" s="441"/>
      <c r="I84" s="441"/>
      <c r="J84" s="441"/>
      <c r="K84" s="441"/>
      <c r="L84" s="442"/>
      <c r="M84" s="485"/>
      <c r="N84" s="486"/>
      <c r="O84" s="17"/>
      <c r="P84" s="532" t="s">
        <v>113</v>
      </c>
      <c r="Q84" s="533"/>
      <c r="R84" s="533"/>
      <c r="S84" s="536" t="s">
        <v>100</v>
      </c>
      <c r="T84" s="536"/>
      <c r="U84" s="536"/>
      <c r="V84" s="536"/>
      <c r="W84" s="536"/>
      <c r="X84" s="536"/>
      <c r="Y84" s="536"/>
      <c r="Z84" s="536"/>
      <c r="AA84" s="536"/>
      <c r="AB84" s="536"/>
      <c r="AC84" s="536"/>
      <c r="AD84" s="536"/>
      <c r="AE84" s="536"/>
      <c r="AF84" s="536"/>
      <c r="AG84" s="536"/>
      <c r="AH84" s="536"/>
      <c r="AI84" s="536"/>
      <c r="AJ84" s="536"/>
      <c r="AK84" s="536"/>
      <c r="AL84" s="536"/>
      <c r="AM84" s="536"/>
      <c r="AN84" s="536"/>
      <c r="AO84" s="537"/>
      <c r="AP84" s="175"/>
      <c r="AQ84" s="17"/>
      <c r="AR84" s="121"/>
      <c r="BA84" s="319"/>
    </row>
    <row r="85" spans="2:54" ht="13.8">
      <c r="B85" s="88"/>
      <c r="C85" s="175"/>
      <c r="D85" s="17"/>
      <c r="E85" s="17"/>
      <c r="F85" s="17"/>
      <c r="G85" s="17"/>
      <c r="H85" s="17"/>
      <c r="I85" s="155"/>
      <c r="J85" s="17"/>
      <c r="K85" s="17"/>
      <c r="L85" s="17"/>
      <c r="M85" s="17"/>
      <c r="N85" s="17"/>
      <c r="O85" s="17"/>
      <c r="P85" s="534"/>
      <c r="Q85" s="535"/>
      <c r="R85" s="535"/>
      <c r="S85" s="538" t="s">
        <v>102</v>
      </c>
      <c r="T85" s="538"/>
      <c r="U85" s="538"/>
      <c r="V85" s="538"/>
      <c r="W85" s="538"/>
      <c r="X85" s="538"/>
      <c r="Y85" s="538"/>
      <c r="Z85" s="538"/>
      <c r="AA85" s="538"/>
      <c r="AB85" s="538"/>
      <c r="AC85" s="538"/>
      <c r="AD85" s="538"/>
      <c r="AE85" s="538"/>
      <c r="AF85" s="538"/>
      <c r="AG85" s="538"/>
      <c r="AH85" s="538"/>
      <c r="AI85" s="538"/>
      <c r="AJ85" s="538"/>
      <c r="AK85" s="538"/>
      <c r="AL85" s="538"/>
      <c r="AM85" s="538"/>
      <c r="AN85" s="538"/>
      <c r="AO85" s="539"/>
      <c r="AP85" s="175"/>
      <c r="AQ85" s="17"/>
      <c r="AR85" s="121"/>
      <c r="AW85" s="319"/>
      <c r="AX85" s="319"/>
      <c r="AY85" s="319"/>
      <c r="BA85" s="319"/>
    </row>
    <row r="86" spans="2:54" ht="16.5" customHeight="1">
      <c r="B86" s="88"/>
      <c r="C86" s="175"/>
      <c r="D86" s="17"/>
      <c r="E86" s="17"/>
      <c r="F86" s="17"/>
      <c r="G86" s="17"/>
      <c r="H86" s="17"/>
      <c r="I86" s="155"/>
      <c r="J86" s="17"/>
      <c r="K86" s="17"/>
      <c r="L86" s="17"/>
      <c r="M86" s="17"/>
      <c r="N86" s="17"/>
      <c r="O86" s="17"/>
      <c r="P86" s="352"/>
      <c r="Q86" s="352"/>
      <c r="R86" s="352"/>
      <c r="S86" s="155"/>
      <c r="T86" s="155"/>
      <c r="U86" s="155"/>
      <c r="V86" s="155"/>
      <c r="W86" s="155"/>
      <c r="X86" s="155"/>
      <c r="Y86" s="155"/>
      <c r="Z86" s="155"/>
      <c r="AA86" s="155"/>
      <c r="AB86" s="155"/>
      <c r="AC86" s="155"/>
      <c r="AD86" s="155"/>
      <c r="AE86" s="155"/>
      <c r="AF86" s="155"/>
      <c r="AG86" s="155"/>
      <c r="AH86" s="155"/>
      <c r="AI86" s="155"/>
      <c r="AJ86" s="155"/>
      <c r="AK86" s="155"/>
      <c r="AL86" s="155"/>
      <c r="AM86" s="155"/>
      <c r="AN86" s="155"/>
      <c r="AO86" s="155"/>
      <c r="AP86" s="175"/>
      <c r="AQ86" s="17"/>
      <c r="AR86" s="121"/>
      <c r="AW86" s="319"/>
      <c r="AX86" s="319"/>
      <c r="AY86" s="319"/>
      <c r="BA86" s="319"/>
    </row>
    <row r="87" spans="2:54" ht="16.5" customHeight="1">
      <c r="B87" s="88"/>
      <c r="C87" s="175"/>
      <c r="D87" s="17"/>
      <c r="E87" s="17"/>
      <c r="F87" s="17"/>
      <c r="G87" s="17"/>
      <c r="H87" s="17"/>
      <c r="I87" s="155"/>
      <c r="J87" s="17"/>
      <c r="K87" s="17"/>
      <c r="L87" s="17"/>
      <c r="M87" s="17"/>
      <c r="N87" s="339" t="s">
        <v>137</v>
      </c>
      <c r="O87" s="17"/>
      <c r="Q87" s="339"/>
      <c r="AB87" s="339" t="s">
        <v>135</v>
      </c>
      <c r="AC87" s="155"/>
      <c r="AD87" s="155"/>
      <c r="AF87" s="339" t="s">
        <v>136</v>
      </c>
      <c r="AG87" s="155"/>
      <c r="AH87" s="155"/>
      <c r="AI87" s="155"/>
      <c r="AJ87" s="155"/>
      <c r="AK87" s="155"/>
      <c r="AL87" s="155"/>
      <c r="AM87" s="155"/>
      <c r="AN87" s="155"/>
      <c r="AO87" s="155"/>
      <c r="AP87" s="175"/>
      <c r="AQ87" s="17"/>
      <c r="AR87" s="121"/>
      <c r="AW87" s="319"/>
      <c r="AX87" s="319"/>
      <c r="AY87" s="319"/>
      <c r="BA87" s="319"/>
    </row>
    <row r="88" spans="2:54" ht="27" customHeight="1">
      <c r="B88" s="88"/>
      <c r="C88" s="175"/>
      <c r="D88" s="17"/>
      <c r="E88" s="17"/>
      <c r="F88" s="17"/>
      <c r="G88" s="17"/>
      <c r="H88" s="17"/>
      <c r="I88" s="155"/>
      <c r="J88" s="209" t="s">
        <v>134</v>
      </c>
      <c r="L88" s="17"/>
      <c r="N88" s="445"/>
      <c r="O88" s="446"/>
      <c r="P88" s="446"/>
      <c r="Q88" s="446"/>
      <c r="R88" s="446"/>
      <c r="S88" s="446"/>
      <c r="T88" s="446"/>
      <c r="U88" s="446"/>
      <c r="V88" s="446"/>
      <c r="W88" s="446"/>
      <c r="X88" s="446"/>
      <c r="Y88" s="446"/>
      <c r="Z88" s="447"/>
      <c r="AB88" s="445"/>
      <c r="AC88" s="446"/>
      <c r="AD88" s="447"/>
      <c r="AE88" s="155"/>
      <c r="AF88" s="445"/>
      <c r="AG88" s="446"/>
      <c r="AH88" s="446"/>
      <c r="AI88" s="446"/>
      <c r="AJ88" s="447"/>
      <c r="AK88" s="155"/>
      <c r="AL88" s="155"/>
      <c r="AM88" s="155"/>
      <c r="AN88" s="155"/>
      <c r="AO88" s="155"/>
      <c r="AP88" s="155"/>
      <c r="AQ88" s="175"/>
      <c r="AR88" s="320"/>
      <c r="AS88" s="175"/>
      <c r="AX88" s="319"/>
      <c r="AY88" s="319"/>
      <c r="AZ88" s="319"/>
      <c r="BB88" s="319"/>
    </row>
    <row r="89" spans="2:54" ht="3.75" customHeight="1">
      <c r="B89" s="88"/>
      <c r="C89" s="175"/>
      <c r="D89" s="17"/>
      <c r="E89" s="17"/>
      <c r="F89" s="17"/>
      <c r="G89" s="17"/>
      <c r="H89" s="17"/>
      <c r="I89" s="155"/>
      <c r="J89" s="113"/>
      <c r="L89" s="17"/>
      <c r="M89" s="352"/>
      <c r="N89" s="197"/>
      <c r="O89" s="197"/>
      <c r="P89" s="198"/>
      <c r="Q89" s="198"/>
      <c r="R89" s="198"/>
      <c r="S89" s="198"/>
      <c r="T89" s="198"/>
      <c r="U89" s="198"/>
      <c r="V89" s="198"/>
      <c r="W89" s="198"/>
      <c r="AA89" s="155"/>
      <c r="AB89" s="198"/>
      <c r="AC89" s="198"/>
      <c r="AD89" s="198"/>
      <c r="AE89" s="155"/>
      <c r="AF89" s="198"/>
      <c r="AG89" s="198"/>
      <c r="AH89" s="198"/>
      <c r="AI89" s="198"/>
      <c r="AJ89" s="155"/>
      <c r="AK89" s="155"/>
      <c r="AL89" s="155"/>
      <c r="AM89" s="155"/>
      <c r="AN89" s="155"/>
      <c r="AO89" s="155"/>
      <c r="AP89" s="155"/>
      <c r="AQ89" s="175"/>
      <c r="AR89" s="320"/>
      <c r="AS89" s="175"/>
      <c r="AX89" s="319"/>
      <c r="AY89" s="319"/>
      <c r="AZ89" s="319"/>
      <c r="BB89" s="319"/>
    </row>
    <row r="90" spans="2:54" ht="27" customHeight="1">
      <c r="B90" s="88"/>
      <c r="C90" s="175"/>
      <c r="D90" s="17"/>
      <c r="E90" s="17"/>
      <c r="F90" s="17"/>
      <c r="G90" s="17"/>
      <c r="H90" s="17"/>
      <c r="I90" s="155"/>
      <c r="J90" s="209" t="s">
        <v>138</v>
      </c>
      <c r="L90" s="17"/>
      <c r="N90" s="463"/>
      <c r="O90" s="464"/>
      <c r="P90" s="464"/>
      <c r="Q90" s="464"/>
      <c r="R90" s="464"/>
      <c r="S90" s="464"/>
      <c r="T90" s="464"/>
      <c r="U90" s="464"/>
      <c r="V90" s="464"/>
      <c r="W90" s="464"/>
      <c r="X90" s="464"/>
      <c r="Y90" s="464"/>
      <c r="Z90" s="465"/>
      <c r="AB90" s="437"/>
      <c r="AC90" s="438"/>
      <c r="AD90" s="439"/>
      <c r="AE90" s="155"/>
      <c r="AF90" s="383"/>
      <c r="AG90" s="384"/>
      <c r="AH90" s="384"/>
      <c r="AI90" s="384"/>
      <c r="AJ90" s="340"/>
      <c r="AK90" s="155"/>
      <c r="AL90" s="155"/>
      <c r="AM90" s="155"/>
      <c r="AN90" s="155"/>
      <c r="AO90" s="155"/>
      <c r="AP90" s="155"/>
      <c r="AQ90" s="175"/>
      <c r="AR90" s="320"/>
      <c r="AS90" s="175"/>
      <c r="AX90" s="319"/>
      <c r="AY90" s="319"/>
      <c r="AZ90" s="319"/>
      <c r="BB90" s="319"/>
    </row>
    <row r="91" spans="2:54" ht="3.75" customHeight="1">
      <c r="B91" s="88"/>
      <c r="C91" s="175"/>
      <c r="D91" s="17"/>
      <c r="E91" s="17"/>
      <c r="F91" s="17"/>
      <c r="G91" s="17"/>
      <c r="H91" s="17"/>
      <c r="I91" s="155"/>
      <c r="J91" s="209"/>
      <c r="L91" s="17"/>
      <c r="N91" s="197"/>
      <c r="O91" s="197"/>
      <c r="P91" s="317"/>
      <c r="Q91" s="317"/>
      <c r="R91" s="317"/>
      <c r="S91" s="317"/>
      <c r="T91" s="317"/>
      <c r="U91" s="317"/>
      <c r="V91" s="317"/>
      <c r="W91" s="317"/>
      <c r="AB91" s="198"/>
      <c r="AC91" s="198"/>
      <c r="AD91" s="198"/>
      <c r="AE91" s="155"/>
      <c r="AF91" s="198"/>
      <c r="AG91" s="198"/>
      <c r="AH91" s="198"/>
      <c r="AI91" s="198"/>
      <c r="AJ91" s="155"/>
      <c r="AK91" s="155"/>
      <c r="AL91" s="155"/>
      <c r="AM91" s="155"/>
      <c r="AN91" s="155"/>
      <c r="AO91" s="155"/>
      <c r="AP91" s="155"/>
      <c r="AQ91" s="175"/>
      <c r="AR91" s="320"/>
      <c r="AS91" s="175"/>
      <c r="AX91" s="319"/>
      <c r="AY91" s="319"/>
      <c r="AZ91" s="319"/>
      <c r="BB91" s="319"/>
    </row>
    <row r="92" spans="2:54" ht="27" customHeight="1">
      <c r="B92" s="88"/>
      <c r="C92" s="175"/>
      <c r="D92" s="17"/>
      <c r="E92" s="17"/>
      <c r="F92" s="17"/>
      <c r="G92" s="17"/>
      <c r="H92" s="17"/>
      <c r="I92" s="155"/>
      <c r="J92" s="209" t="s">
        <v>139</v>
      </c>
      <c r="L92" s="17"/>
      <c r="N92" s="463"/>
      <c r="O92" s="464"/>
      <c r="P92" s="464"/>
      <c r="Q92" s="464"/>
      <c r="R92" s="464"/>
      <c r="S92" s="464"/>
      <c r="T92" s="464"/>
      <c r="U92" s="464"/>
      <c r="V92" s="464"/>
      <c r="W92" s="464"/>
      <c r="X92" s="464"/>
      <c r="Y92" s="464"/>
      <c r="Z92" s="465"/>
      <c r="AB92" s="437"/>
      <c r="AC92" s="438"/>
      <c r="AD92" s="439"/>
      <c r="AE92" s="155"/>
      <c r="AF92" s="437"/>
      <c r="AG92" s="438"/>
      <c r="AH92" s="438"/>
      <c r="AI92" s="438"/>
      <c r="AJ92" s="439"/>
      <c r="AK92" s="155"/>
      <c r="AL92" s="155"/>
      <c r="AM92" s="155"/>
      <c r="AN92" s="155"/>
      <c r="AO92" s="155"/>
      <c r="AP92" s="155"/>
      <c r="AQ92" s="175"/>
      <c r="AR92" s="320"/>
      <c r="AS92" s="175"/>
      <c r="AX92" s="319"/>
      <c r="AY92" s="319"/>
      <c r="AZ92" s="319"/>
      <c r="BB92" s="319"/>
    </row>
    <row r="93" spans="2:54" ht="3.75" customHeight="1">
      <c r="B93" s="88"/>
      <c r="C93" s="175"/>
      <c r="D93" s="17"/>
      <c r="E93" s="17"/>
      <c r="F93" s="17"/>
      <c r="G93" s="17"/>
      <c r="H93" s="17"/>
      <c r="I93" s="155"/>
      <c r="J93" s="209"/>
      <c r="L93" s="17"/>
      <c r="N93" s="197"/>
      <c r="O93" s="197"/>
      <c r="P93" s="317"/>
      <c r="Q93" s="317"/>
      <c r="R93" s="317"/>
      <c r="S93" s="317"/>
      <c r="T93" s="317"/>
      <c r="U93" s="317"/>
      <c r="V93" s="317"/>
      <c r="W93" s="317"/>
      <c r="AB93" s="198"/>
      <c r="AC93" s="198"/>
      <c r="AD93" s="198"/>
      <c r="AE93" s="155"/>
      <c r="AF93" s="198"/>
      <c r="AG93" s="198"/>
      <c r="AH93" s="198"/>
      <c r="AI93" s="198"/>
      <c r="AJ93" s="155"/>
      <c r="AK93" s="155"/>
      <c r="AL93" s="155"/>
      <c r="AM93" s="155"/>
      <c r="AN93" s="155"/>
      <c r="AO93" s="155"/>
      <c r="AP93" s="175"/>
      <c r="AQ93" s="17"/>
      <c r="AR93" s="121"/>
      <c r="AW93" s="319"/>
      <c r="AX93" s="319"/>
      <c r="AY93" s="319"/>
      <c r="BA93" s="319"/>
    </row>
    <row r="94" spans="2:54" ht="27" customHeight="1">
      <c r="B94" s="88"/>
      <c r="C94" s="175"/>
      <c r="D94" s="17"/>
      <c r="E94" s="17"/>
      <c r="F94" s="17"/>
      <c r="G94" s="17"/>
      <c r="H94" s="17"/>
      <c r="I94" s="155"/>
      <c r="J94" s="209" t="s">
        <v>140</v>
      </c>
      <c r="L94" s="17"/>
      <c r="N94" s="463"/>
      <c r="O94" s="464"/>
      <c r="P94" s="464"/>
      <c r="Q94" s="464"/>
      <c r="R94" s="464"/>
      <c r="S94" s="464"/>
      <c r="T94" s="464"/>
      <c r="U94" s="464"/>
      <c r="V94" s="464"/>
      <c r="W94" s="464"/>
      <c r="X94" s="464"/>
      <c r="Y94" s="464"/>
      <c r="Z94" s="465"/>
      <c r="AB94" s="437"/>
      <c r="AC94" s="438"/>
      <c r="AD94" s="439"/>
      <c r="AE94" s="155"/>
      <c r="AF94" s="437"/>
      <c r="AG94" s="438"/>
      <c r="AH94" s="438"/>
      <c r="AI94" s="438"/>
      <c r="AJ94" s="439"/>
      <c r="AK94" s="155"/>
      <c r="AL94" s="155"/>
      <c r="AM94" s="155"/>
      <c r="AN94" s="155"/>
      <c r="AO94" s="155"/>
      <c r="AP94" s="155"/>
      <c r="AQ94" s="175"/>
      <c r="AR94" s="320"/>
      <c r="AS94" s="175"/>
      <c r="AX94" s="319"/>
      <c r="AY94" s="319"/>
      <c r="AZ94" s="319"/>
      <c r="BB94" s="319"/>
    </row>
    <row r="95" spans="2:54" ht="3.75" customHeight="1">
      <c r="B95" s="88"/>
      <c r="C95" s="175"/>
      <c r="D95" s="17"/>
      <c r="E95" s="17"/>
      <c r="F95" s="17"/>
      <c r="G95" s="17"/>
      <c r="H95" s="17"/>
      <c r="I95" s="155"/>
      <c r="J95" s="209"/>
      <c r="L95" s="17"/>
      <c r="N95" s="197"/>
      <c r="O95" s="197"/>
      <c r="P95" s="317"/>
      <c r="Q95" s="317"/>
      <c r="R95" s="317"/>
      <c r="S95" s="317"/>
      <c r="T95" s="317"/>
      <c r="U95" s="317"/>
      <c r="V95" s="317"/>
      <c r="W95" s="317"/>
      <c r="AB95" s="198"/>
      <c r="AC95" s="198"/>
      <c r="AD95" s="198"/>
      <c r="AE95" s="155"/>
      <c r="AF95" s="198"/>
      <c r="AG95" s="198"/>
      <c r="AH95" s="198"/>
      <c r="AI95" s="198"/>
      <c r="AJ95" s="155"/>
      <c r="AK95" s="155"/>
      <c r="AL95" s="155"/>
      <c r="AM95" s="155"/>
      <c r="AN95" s="155"/>
      <c r="AO95" s="155"/>
      <c r="AP95" s="155"/>
      <c r="AQ95" s="175"/>
      <c r="AR95" s="320"/>
      <c r="AS95" s="175"/>
      <c r="AX95" s="319"/>
      <c r="AY95" s="319"/>
      <c r="AZ95" s="319"/>
      <c r="BB95" s="319"/>
    </row>
    <row r="96" spans="2:54" ht="27" customHeight="1">
      <c r="B96" s="88"/>
      <c r="C96" s="175"/>
      <c r="D96" s="17"/>
      <c r="E96" s="17"/>
      <c r="F96" s="17"/>
      <c r="G96" s="17"/>
      <c r="H96" s="17"/>
      <c r="I96" s="155"/>
      <c r="J96" s="209" t="s">
        <v>141</v>
      </c>
      <c r="L96" s="17"/>
      <c r="N96" s="463"/>
      <c r="O96" s="464"/>
      <c r="P96" s="464"/>
      <c r="Q96" s="464"/>
      <c r="R96" s="464"/>
      <c r="S96" s="464"/>
      <c r="T96" s="464"/>
      <c r="U96" s="464"/>
      <c r="V96" s="464"/>
      <c r="W96" s="464"/>
      <c r="X96" s="464"/>
      <c r="Y96" s="464"/>
      <c r="Z96" s="465"/>
      <c r="AB96" s="437"/>
      <c r="AC96" s="438"/>
      <c r="AD96" s="439"/>
      <c r="AE96" s="155"/>
      <c r="AF96" s="437"/>
      <c r="AG96" s="438"/>
      <c r="AH96" s="438"/>
      <c r="AI96" s="438"/>
      <c r="AJ96" s="439"/>
      <c r="AK96" s="155"/>
      <c r="AL96" s="155"/>
      <c r="AM96" s="155"/>
      <c r="AN96" s="155"/>
      <c r="AO96" s="155"/>
      <c r="AP96" s="155"/>
      <c r="AQ96" s="175"/>
      <c r="AR96" s="320"/>
      <c r="AS96" s="175"/>
      <c r="AX96" s="319"/>
      <c r="AY96" s="319"/>
      <c r="AZ96" s="319"/>
      <c r="BB96" s="319"/>
    </row>
    <row r="97" spans="1:54" ht="25.5" customHeight="1">
      <c r="B97" s="56"/>
      <c r="C97" s="215"/>
      <c r="D97" s="84"/>
      <c r="E97" s="84"/>
      <c r="F97" s="84"/>
      <c r="G97" s="84"/>
      <c r="H97" s="84"/>
      <c r="I97" s="147"/>
      <c r="J97" s="213"/>
      <c r="K97" s="313"/>
      <c r="L97" s="84"/>
      <c r="M97" s="313"/>
      <c r="N97" s="382"/>
      <c r="O97" s="382"/>
      <c r="P97" s="382"/>
      <c r="Q97" s="382"/>
      <c r="R97" s="382"/>
      <c r="S97" s="382"/>
      <c r="T97" s="382"/>
      <c r="U97" s="382"/>
      <c r="V97" s="382"/>
      <c r="W97" s="382"/>
      <c r="X97" s="382"/>
      <c r="Y97" s="382"/>
      <c r="Z97" s="382"/>
      <c r="AA97" s="313"/>
      <c r="AB97" s="214"/>
      <c r="AC97" s="214"/>
      <c r="AD97" s="214"/>
      <c r="AE97" s="147"/>
      <c r="AF97" s="214"/>
      <c r="AG97" s="214"/>
      <c r="AH97" s="214"/>
      <c r="AI97" s="214"/>
      <c r="AJ97" s="214"/>
      <c r="AK97" s="147"/>
      <c r="AL97" s="147"/>
      <c r="AM97" s="147"/>
      <c r="AN97" s="147"/>
      <c r="AO97" s="147"/>
      <c r="AP97" s="147"/>
      <c r="AQ97" s="215"/>
      <c r="AR97" s="321"/>
      <c r="AS97" s="175"/>
      <c r="AX97" s="319"/>
      <c r="AY97" s="319"/>
      <c r="AZ97" s="319"/>
      <c r="BB97" s="319"/>
    </row>
    <row r="98" spans="1:54" ht="10.5" customHeight="1">
      <c r="D98" s="322"/>
      <c r="E98" s="322"/>
      <c r="F98" s="322"/>
      <c r="I98" s="322"/>
      <c r="J98" s="322"/>
      <c r="L98" s="322"/>
      <c r="N98" s="322"/>
      <c r="O98" s="322"/>
      <c r="P98" s="323"/>
      <c r="R98" s="323"/>
      <c r="S98" s="323"/>
      <c r="U98" s="322"/>
      <c r="X98" s="322"/>
      <c r="Y98" s="322"/>
      <c r="Z98" s="323"/>
      <c r="AA98" s="323"/>
      <c r="AC98" s="323"/>
      <c r="AD98" s="323"/>
      <c r="AE98" s="323"/>
      <c r="AF98" s="323"/>
      <c r="AI98" s="323"/>
      <c r="AN98" s="323"/>
      <c r="AV98" s="323"/>
      <c r="AW98" s="323"/>
      <c r="AY98" s="322"/>
    </row>
    <row r="99" spans="1:54" ht="30.75" customHeight="1">
      <c r="D99" s="307"/>
      <c r="E99" s="526" t="s">
        <v>110</v>
      </c>
      <c r="F99" s="526"/>
      <c r="G99" s="526"/>
      <c r="H99" s="526"/>
      <c r="I99" s="526"/>
      <c r="J99" s="526"/>
      <c r="K99" s="526"/>
      <c r="L99" s="526"/>
      <c r="M99" s="526"/>
      <c r="N99" s="526"/>
      <c r="O99" s="526"/>
      <c r="P99" s="526"/>
      <c r="Q99" s="526"/>
      <c r="R99" s="526"/>
      <c r="S99" s="526"/>
      <c r="T99" s="526"/>
      <c r="U99" s="526"/>
      <c r="V99" s="324"/>
      <c r="X99" s="527" t="s">
        <v>108</v>
      </c>
      <c r="Y99" s="527"/>
      <c r="Z99" s="527"/>
      <c r="AA99" s="527"/>
      <c r="AB99" s="527"/>
      <c r="AC99" s="527"/>
      <c r="AD99" s="527"/>
      <c r="AE99" s="527"/>
      <c r="AF99" s="527"/>
      <c r="AG99" s="527"/>
      <c r="AH99" s="527"/>
      <c r="AI99" s="527"/>
      <c r="AJ99" s="527"/>
      <c r="AK99" s="527"/>
      <c r="AL99" s="527"/>
      <c r="AM99" s="527"/>
      <c r="AN99" s="527"/>
      <c r="AO99" s="527"/>
      <c r="AP99" s="527"/>
      <c r="AQ99" s="527"/>
      <c r="AY99" s="322"/>
    </row>
    <row r="100" spans="1:54" ht="30.75" customHeight="1">
      <c r="D100" s="262"/>
      <c r="E100" s="528" t="s">
        <v>29</v>
      </c>
      <c r="F100" s="528"/>
      <c r="G100" s="528"/>
      <c r="H100" s="528"/>
      <c r="I100" s="528"/>
      <c r="J100" s="528"/>
      <c r="K100" s="528"/>
      <c r="L100" s="528"/>
      <c r="M100" s="323"/>
      <c r="N100" s="528" t="s">
        <v>30</v>
      </c>
      <c r="O100" s="528"/>
      <c r="P100" s="528"/>
      <c r="Q100" s="528"/>
      <c r="R100" s="528"/>
      <c r="S100" s="528"/>
      <c r="T100" s="528"/>
      <c r="U100" s="528"/>
      <c r="V100" s="311"/>
      <c r="X100" s="113"/>
      <c r="Y100" s="529" t="s">
        <v>109</v>
      </c>
      <c r="Z100" s="529"/>
      <c r="AA100" s="529"/>
      <c r="AB100" s="529"/>
      <c r="AC100" s="529"/>
      <c r="AD100" s="529"/>
      <c r="AE100" s="529"/>
      <c r="AF100" s="529"/>
      <c r="AG100" s="529"/>
      <c r="AH100" s="113"/>
      <c r="AI100" s="113"/>
      <c r="AJ100" s="531"/>
      <c r="AK100" s="531"/>
      <c r="AL100" s="531"/>
      <c r="AM100" s="531"/>
      <c r="AN100" s="531"/>
      <c r="AO100" s="531"/>
      <c r="AP100" s="531"/>
      <c r="AQ100" s="113"/>
    </row>
    <row r="101" spans="1:54" ht="30.75" customHeight="1">
      <c r="D101" s="262"/>
      <c r="E101" s="325"/>
      <c r="F101" s="325"/>
      <c r="G101" s="325"/>
      <c r="H101" s="325"/>
      <c r="I101" s="325"/>
      <c r="J101" s="325"/>
      <c r="K101" s="325"/>
      <c r="L101" s="325"/>
      <c r="M101" s="323"/>
      <c r="N101" s="325"/>
      <c r="O101" s="325"/>
      <c r="P101" s="325"/>
      <c r="Q101" s="325"/>
      <c r="R101" s="325"/>
      <c r="S101" s="325"/>
      <c r="T101" s="325"/>
      <c r="U101" s="325"/>
      <c r="V101" s="311"/>
      <c r="X101" s="113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3"/>
      <c r="AI101" s="113"/>
      <c r="AJ101" s="531"/>
      <c r="AK101" s="531"/>
      <c r="AL101" s="531"/>
      <c r="AM101" s="531"/>
      <c r="AN101" s="531"/>
      <c r="AO101" s="531"/>
      <c r="AP101" s="531"/>
      <c r="AQ101" s="113"/>
    </row>
    <row r="102" spans="1:54" ht="30.75" customHeight="1">
      <c r="D102" s="262"/>
      <c r="E102" s="525"/>
      <c r="F102" s="519"/>
      <c r="G102" s="326" t="s">
        <v>8</v>
      </c>
      <c r="H102" s="519"/>
      <c r="I102" s="519"/>
      <c r="J102" s="326" t="s">
        <v>8</v>
      </c>
      <c r="K102" s="519"/>
      <c r="L102" s="520"/>
      <c r="M102" s="323"/>
      <c r="N102" s="525"/>
      <c r="O102" s="519"/>
      <c r="P102" s="326" t="s">
        <v>8</v>
      </c>
      <c r="Q102" s="519"/>
      <c r="R102" s="519"/>
      <c r="S102" s="326" t="s">
        <v>8</v>
      </c>
      <c r="T102" s="519"/>
      <c r="U102" s="520"/>
      <c r="V102" s="311"/>
      <c r="X102" s="113"/>
      <c r="Y102" s="521"/>
      <c r="Z102" s="522"/>
      <c r="AA102" s="142" t="s">
        <v>8</v>
      </c>
      <c r="AB102" s="522"/>
      <c r="AC102" s="522"/>
      <c r="AD102" s="522"/>
      <c r="AE102" s="142" t="s">
        <v>8</v>
      </c>
      <c r="AF102" s="522"/>
      <c r="AG102" s="523"/>
      <c r="AH102" s="113"/>
      <c r="AI102" s="113"/>
      <c r="AJ102" s="530"/>
      <c r="AK102" s="530"/>
      <c r="AL102" s="530"/>
      <c r="AM102" s="530"/>
      <c r="AN102" s="530"/>
      <c r="AO102" s="530"/>
      <c r="AP102" s="530"/>
      <c r="AQ102" s="113"/>
    </row>
    <row r="103" spans="1:54" ht="30.75" customHeight="1">
      <c r="D103" s="262"/>
      <c r="E103" s="519"/>
      <c r="F103" s="519"/>
      <c r="G103" s="519"/>
      <c r="H103" s="519"/>
      <c r="I103" s="519"/>
      <c r="J103" s="519"/>
      <c r="K103" s="519"/>
      <c r="L103" s="519"/>
      <c r="M103" s="323"/>
      <c r="N103" s="519"/>
      <c r="O103" s="519"/>
      <c r="P103" s="519"/>
      <c r="Q103" s="519"/>
      <c r="R103" s="519"/>
      <c r="S103" s="519"/>
      <c r="T103" s="519"/>
      <c r="U103" s="519"/>
      <c r="V103" s="311"/>
      <c r="X103" s="113"/>
      <c r="Y103" s="113"/>
      <c r="Z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530"/>
      <c r="AK103" s="530"/>
      <c r="AL103" s="530"/>
      <c r="AM103" s="530"/>
      <c r="AN103" s="530"/>
      <c r="AO103" s="530"/>
      <c r="AP103" s="530"/>
      <c r="AQ103" s="113"/>
    </row>
    <row r="104" spans="1:54" ht="30.75" customHeight="1">
      <c r="D104" s="327"/>
      <c r="E104" s="519" t="s">
        <v>20</v>
      </c>
      <c r="F104" s="519"/>
      <c r="G104" s="519"/>
      <c r="H104" s="519"/>
      <c r="I104" s="519"/>
      <c r="J104" s="519"/>
      <c r="K104" s="519"/>
      <c r="L104" s="519"/>
      <c r="M104" s="328"/>
      <c r="N104" s="519" t="s">
        <v>20</v>
      </c>
      <c r="O104" s="519"/>
      <c r="P104" s="519"/>
      <c r="Q104" s="519"/>
      <c r="R104" s="519"/>
      <c r="S104" s="519"/>
      <c r="T104" s="519"/>
      <c r="U104" s="519"/>
      <c r="V104" s="315"/>
      <c r="X104" s="113"/>
      <c r="Y104" s="524" t="s">
        <v>20</v>
      </c>
      <c r="Z104" s="524"/>
      <c r="AA104" s="524"/>
      <c r="AB104" s="524"/>
      <c r="AC104" s="524"/>
      <c r="AD104" s="524"/>
      <c r="AE104" s="524"/>
      <c r="AF104" s="524"/>
      <c r="AG104" s="524"/>
      <c r="AH104" s="113"/>
      <c r="AI104" s="113"/>
      <c r="AJ104" s="113"/>
      <c r="AK104" s="113"/>
      <c r="AL104" s="113"/>
      <c r="AM104" s="113"/>
      <c r="AN104" s="113"/>
      <c r="AO104" s="113"/>
      <c r="AP104" s="113"/>
      <c r="AQ104" s="113"/>
      <c r="AR104" s="89"/>
    </row>
    <row r="105" spans="1:54" ht="4.5" customHeight="1">
      <c r="E105" s="329"/>
      <c r="F105" s="329"/>
      <c r="G105" s="329"/>
      <c r="H105" s="329"/>
      <c r="I105" s="329"/>
      <c r="J105" s="329"/>
      <c r="K105" s="329"/>
      <c r="M105" s="329"/>
      <c r="N105" s="329"/>
      <c r="O105" s="329"/>
      <c r="P105" s="329"/>
      <c r="Q105" s="329"/>
      <c r="R105" s="329"/>
      <c r="S105" s="32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89"/>
      <c r="AO105" s="89"/>
      <c r="AP105" s="89"/>
      <c r="AQ105" s="89"/>
      <c r="AR105" s="89"/>
    </row>
    <row r="106" spans="1:54" ht="5.25" customHeight="1" thickBot="1">
      <c r="B106" s="330"/>
      <c r="C106" s="330"/>
      <c r="D106" s="330"/>
      <c r="E106" s="330"/>
      <c r="F106" s="330"/>
      <c r="G106" s="330"/>
      <c r="H106" s="330"/>
      <c r="I106" s="330"/>
      <c r="J106" s="330"/>
      <c r="K106" s="330"/>
      <c r="L106" s="330"/>
      <c r="M106" s="330"/>
      <c r="N106" s="330"/>
      <c r="O106" s="330"/>
      <c r="P106" s="330"/>
      <c r="Q106" s="330"/>
      <c r="R106" s="330"/>
      <c r="S106" s="330"/>
      <c r="T106" s="330"/>
      <c r="U106" s="330"/>
      <c r="V106" s="330"/>
      <c r="W106" s="330"/>
      <c r="X106" s="330"/>
      <c r="Y106" s="330"/>
      <c r="Z106" s="330"/>
      <c r="AA106" s="330"/>
      <c r="AB106" s="330"/>
      <c r="AC106" s="330"/>
      <c r="AD106" s="330"/>
      <c r="AE106" s="330"/>
      <c r="AF106" s="330"/>
      <c r="AG106" s="330"/>
      <c r="AH106" s="330"/>
      <c r="AI106" s="330"/>
      <c r="AJ106" s="330"/>
      <c r="AK106" s="330"/>
      <c r="AL106" s="330"/>
      <c r="AM106" s="330"/>
      <c r="AN106" s="330"/>
      <c r="AO106" s="330"/>
      <c r="AP106" s="330"/>
      <c r="AQ106" s="330"/>
      <c r="AR106" s="330"/>
    </row>
    <row r="107" spans="1:54" ht="13.8" thickTop="1">
      <c r="A107" s="517"/>
      <c r="B107" s="517"/>
      <c r="C107" s="517"/>
      <c r="D107" s="517"/>
      <c r="E107" s="517"/>
      <c r="F107" s="517"/>
      <c r="G107" s="517"/>
      <c r="H107" s="517"/>
      <c r="I107" s="517"/>
      <c r="J107" s="517"/>
      <c r="K107" s="517"/>
      <c r="L107" s="517"/>
      <c r="M107" s="517"/>
      <c r="N107" s="517"/>
      <c r="O107" s="517"/>
      <c r="P107" s="517"/>
      <c r="Q107" s="517"/>
      <c r="R107" s="517"/>
      <c r="S107" s="517"/>
      <c r="T107" s="517"/>
      <c r="U107" s="517"/>
      <c r="V107" s="517"/>
      <c r="W107" s="517"/>
      <c r="X107" s="517"/>
      <c r="Y107" s="517"/>
      <c r="Z107" s="517"/>
      <c r="AA107" s="517"/>
      <c r="AB107" s="517"/>
      <c r="AC107" s="517"/>
      <c r="AD107" s="517"/>
      <c r="AE107" s="517"/>
      <c r="AF107" s="517"/>
      <c r="AG107" s="517"/>
      <c r="AH107" s="517"/>
      <c r="AI107" s="517"/>
      <c r="AJ107" s="517"/>
      <c r="AK107" s="517"/>
      <c r="AL107" s="517"/>
      <c r="AM107" s="517"/>
      <c r="AN107" s="517"/>
      <c r="AO107" s="517"/>
      <c r="AP107" s="517"/>
      <c r="AQ107" s="517"/>
      <c r="AR107" s="517"/>
      <c r="AS107" s="518"/>
    </row>
    <row r="108" spans="1:54">
      <c r="F108" s="331"/>
    </row>
    <row r="110" spans="1:54">
      <c r="S110" s="322"/>
      <c r="AB110" s="216"/>
      <c r="AC110" s="216"/>
      <c r="AD110" s="216"/>
      <c r="AE110" s="216"/>
      <c r="AF110" s="216"/>
      <c r="AG110" s="216"/>
      <c r="AH110" s="216"/>
    </row>
  </sheetData>
  <sheetProtection formatCells="0"/>
  <mergeCells count="278">
    <mergeCell ref="F79:L79"/>
    <mergeCell ref="AB92:AD92"/>
    <mergeCell ref="AF92:AJ92"/>
    <mergeCell ref="AB96:AD96"/>
    <mergeCell ref="Y100:AG100"/>
    <mergeCell ref="AJ102:AP102"/>
    <mergeCell ref="E103:L103"/>
    <mergeCell ref="E102:F102"/>
    <mergeCell ref="H102:I102"/>
    <mergeCell ref="AF94:AJ94"/>
    <mergeCell ref="AF96:AJ96"/>
    <mergeCell ref="AB94:AD94"/>
    <mergeCell ref="F80:L80"/>
    <mergeCell ref="D84:L84"/>
    <mergeCell ref="N103:U103"/>
    <mergeCell ref="AJ103:AP103"/>
    <mergeCell ref="E100:L100"/>
    <mergeCell ref="AJ100:AP101"/>
    <mergeCell ref="P84:R85"/>
    <mergeCell ref="S84:AO84"/>
    <mergeCell ref="S85:AO85"/>
    <mergeCell ref="N92:Z92"/>
    <mergeCell ref="I71:K71"/>
    <mergeCell ref="I72:K72"/>
    <mergeCell ref="W53:X53"/>
    <mergeCell ref="O53:R53"/>
    <mergeCell ref="S53:T53"/>
    <mergeCell ref="U53:V53"/>
    <mergeCell ref="T72:V72"/>
    <mergeCell ref="W68:Y68"/>
    <mergeCell ref="A107:AS107"/>
    <mergeCell ref="T102:U102"/>
    <mergeCell ref="Y102:Z102"/>
    <mergeCell ref="AB102:AD102"/>
    <mergeCell ref="AF102:AG102"/>
    <mergeCell ref="N94:Z94"/>
    <mergeCell ref="K102:L102"/>
    <mergeCell ref="E104:L104"/>
    <mergeCell ref="N104:U104"/>
    <mergeCell ref="Y104:AG104"/>
    <mergeCell ref="N96:Z96"/>
    <mergeCell ref="N102:O102"/>
    <mergeCell ref="Q102:R102"/>
    <mergeCell ref="E99:U99"/>
    <mergeCell ref="X99:AQ99"/>
    <mergeCell ref="N100:U100"/>
    <mergeCell ref="M81:O81"/>
    <mergeCell ref="P78:S78"/>
    <mergeCell ref="P79:S79"/>
    <mergeCell ref="P80:S80"/>
    <mergeCell ref="P81:S81"/>
    <mergeCell ref="T78:V78"/>
    <mergeCell ref="M78:O78"/>
    <mergeCell ref="M79:O79"/>
    <mergeCell ref="M80:O80"/>
    <mergeCell ref="T79:V79"/>
    <mergeCell ref="AG43:AH43"/>
    <mergeCell ref="AB18:AC18"/>
    <mergeCell ref="D55:H55"/>
    <mergeCell ref="D46:L46"/>
    <mergeCell ref="N46:AO46"/>
    <mergeCell ref="N48:R48"/>
    <mergeCell ref="D51:I51"/>
    <mergeCell ref="AD53:AN53"/>
    <mergeCell ref="D32:E32"/>
    <mergeCell ref="AM29:AQ29"/>
    <mergeCell ref="F32:U32"/>
    <mergeCell ref="W32:X32"/>
    <mergeCell ref="Y32:AQ32"/>
    <mergeCell ref="D36:AQ36"/>
    <mergeCell ref="AC40:AE40"/>
    <mergeCell ref="AF40:AM40"/>
    <mergeCell ref="J28:T28"/>
    <mergeCell ref="V28:W28"/>
    <mergeCell ref="Y28:AC28"/>
    <mergeCell ref="AF28:AJ28"/>
    <mergeCell ref="AM28:AP28"/>
    <mergeCell ref="F29:I29"/>
    <mergeCell ref="J29:T29"/>
    <mergeCell ref="V29:W29"/>
    <mergeCell ref="Y29:AD29"/>
    <mergeCell ref="AF29:AJ29"/>
    <mergeCell ref="AC24:AD24"/>
    <mergeCell ref="AF24:AJ24"/>
    <mergeCell ref="AL24:AN24"/>
    <mergeCell ref="AO24:AQ24"/>
    <mergeCell ref="O26:P26"/>
    <mergeCell ref="Q26:R26"/>
    <mergeCell ref="S26:T26"/>
    <mergeCell ref="U26:V26"/>
    <mergeCell ref="AD26:AH26"/>
    <mergeCell ref="AF18:AI18"/>
    <mergeCell ref="Z20:AD20"/>
    <mergeCell ref="AF20:AI20"/>
    <mergeCell ref="T22:U22"/>
    <mergeCell ref="Z22:AB22"/>
    <mergeCell ref="AJ22:AO22"/>
    <mergeCell ref="AH22:AI22"/>
    <mergeCell ref="AJ18:AQ18"/>
    <mergeCell ref="AN20:AQ20"/>
    <mergeCell ref="T18:X18"/>
    <mergeCell ref="D14:AQ14"/>
    <mergeCell ref="R16:W16"/>
    <mergeCell ref="Z16:AH16"/>
    <mergeCell ref="AI16:AJ16"/>
    <mergeCell ref="AL16:AM16"/>
    <mergeCell ref="AN16:AQ16"/>
    <mergeCell ref="H16:M16"/>
    <mergeCell ref="M84:N84"/>
    <mergeCell ref="U1:AS1"/>
    <mergeCell ref="S5:W5"/>
    <mergeCell ref="L5:P5"/>
    <mergeCell ref="AF5:AI5"/>
    <mergeCell ref="AL5:AP5"/>
    <mergeCell ref="B2:AQ2"/>
    <mergeCell ref="J9:AJ9"/>
    <mergeCell ref="J11:AJ11"/>
    <mergeCell ref="AO11:AQ11"/>
    <mergeCell ref="D22:F22"/>
    <mergeCell ref="D53:I53"/>
    <mergeCell ref="D44:F44"/>
    <mergeCell ref="S20:X20"/>
    <mergeCell ref="E24:I24"/>
    <mergeCell ref="G26:N26"/>
    <mergeCell ref="G20:K20"/>
    <mergeCell ref="X40:AB40"/>
    <mergeCell ref="N88:Z88"/>
    <mergeCell ref="W69:Y69"/>
    <mergeCell ref="P76:Q76"/>
    <mergeCell ref="R76:S76"/>
    <mergeCell ref="R71:S71"/>
    <mergeCell ref="AC43:AD43"/>
    <mergeCell ref="N90:Z90"/>
    <mergeCell ref="G43:Q43"/>
    <mergeCell ref="T43:V43"/>
    <mergeCell ref="G44:V44"/>
    <mergeCell ref="J51:K51"/>
    <mergeCell ref="N51:Z51"/>
    <mergeCell ref="N52:P52"/>
    <mergeCell ref="P73:Q73"/>
    <mergeCell ref="P74:Q74"/>
    <mergeCell ref="P75:Q75"/>
    <mergeCell ref="R74:S74"/>
    <mergeCell ref="R75:S75"/>
    <mergeCell ref="W76:Y76"/>
    <mergeCell ref="W71:Y71"/>
    <mergeCell ref="W72:Y72"/>
    <mergeCell ref="T76:V76"/>
    <mergeCell ref="AD51:AN51"/>
    <mergeCell ref="AF65:AH65"/>
    <mergeCell ref="AF88:AJ88"/>
    <mergeCell ref="AB88:AD88"/>
    <mergeCell ref="AB90:AD90"/>
    <mergeCell ref="AL66:AM66"/>
    <mergeCell ref="Z73:AB73"/>
    <mergeCell ref="AC68:AE68"/>
    <mergeCell ref="AC69:AE69"/>
    <mergeCell ref="AC70:AE70"/>
    <mergeCell ref="AC71:AE71"/>
    <mergeCell ref="AC72:AE72"/>
    <mergeCell ref="AC73:AE73"/>
    <mergeCell ref="AC75:AE75"/>
    <mergeCell ref="AC76:AE76"/>
    <mergeCell ref="Z74:AB74"/>
    <mergeCell ref="Z75:AB75"/>
    <mergeCell ref="Z76:AB76"/>
    <mergeCell ref="AC74:AE74"/>
    <mergeCell ref="H18:L18"/>
    <mergeCell ref="J24:N24"/>
    <mergeCell ref="O24:P24"/>
    <mergeCell ref="R24:S24"/>
    <mergeCell ref="W24:Z24"/>
    <mergeCell ref="Y18:Z18"/>
    <mergeCell ref="G72:H72"/>
    <mergeCell ref="P67:S67"/>
    <mergeCell ref="R68:S68"/>
    <mergeCell ref="R69:S69"/>
    <mergeCell ref="R70:S70"/>
    <mergeCell ref="M22:N22"/>
    <mergeCell ref="E48:I48"/>
    <mergeCell ref="Q52:U52"/>
    <mergeCell ref="T24:V24"/>
    <mergeCell ref="D28:I28"/>
    <mergeCell ref="F65:AE65"/>
    <mergeCell ref="F66:AE66"/>
    <mergeCell ref="Z68:AB68"/>
    <mergeCell ref="Z69:AB69"/>
    <mergeCell ref="Z70:AB70"/>
    <mergeCell ref="Z71:AB71"/>
    <mergeCell ref="Z72:AB72"/>
    <mergeCell ref="W70:Y70"/>
    <mergeCell ref="G75:H75"/>
    <mergeCell ref="P68:Q68"/>
    <mergeCell ref="P69:Q69"/>
    <mergeCell ref="P70:Q70"/>
    <mergeCell ref="P71:Q71"/>
    <mergeCell ref="P72:Q72"/>
    <mergeCell ref="W73:Y73"/>
    <mergeCell ref="W74:Y74"/>
    <mergeCell ref="W75:Y75"/>
    <mergeCell ref="G67:H68"/>
    <mergeCell ref="T67:AE67"/>
    <mergeCell ref="G69:H69"/>
    <mergeCell ref="G70:H70"/>
    <mergeCell ref="G71:H71"/>
    <mergeCell ref="G73:H73"/>
    <mergeCell ref="G74:H74"/>
    <mergeCell ref="L70:M70"/>
    <mergeCell ref="L71:M71"/>
    <mergeCell ref="L72:M72"/>
    <mergeCell ref="T75:V75"/>
    <mergeCell ref="T74:V74"/>
    <mergeCell ref="T73:V73"/>
    <mergeCell ref="I69:K69"/>
    <mergeCell ref="I70:K70"/>
    <mergeCell ref="BH76:BJ76"/>
    <mergeCell ref="BF73:BG73"/>
    <mergeCell ref="BF74:BG74"/>
    <mergeCell ref="BF75:BG75"/>
    <mergeCell ref="BF76:BG76"/>
    <mergeCell ref="BH66:BJ66"/>
    <mergeCell ref="BH67:BJ67"/>
    <mergeCell ref="BH68:BJ68"/>
    <mergeCell ref="BH69:BJ69"/>
    <mergeCell ref="BH70:BJ70"/>
    <mergeCell ref="BH71:BJ71"/>
    <mergeCell ref="BH72:BJ72"/>
    <mergeCell ref="BH73:BJ73"/>
    <mergeCell ref="BH74:BJ74"/>
    <mergeCell ref="BH75:BJ75"/>
    <mergeCell ref="BK76:BN76"/>
    <mergeCell ref="T68:V68"/>
    <mergeCell ref="T69:V69"/>
    <mergeCell ref="T70:V70"/>
    <mergeCell ref="L75:M75"/>
    <mergeCell ref="BF66:BG66"/>
    <mergeCell ref="BF67:BG67"/>
    <mergeCell ref="BF68:BG68"/>
    <mergeCell ref="BF69:BG69"/>
    <mergeCell ref="BF70:BG70"/>
    <mergeCell ref="BK72:BN72"/>
    <mergeCell ref="BK73:BN73"/>
    <mergeCell ref="BK74:BN74"/>
    <mergeCell ref="BK75:BN75"/>
    <mergeCell ref="T71:V71"/>
    <mergeCell ref="L74:M74"/>
    <mergeCell ref="N73:O73"/>
    <mergeCell ref="N74:O74"/>
    <mergeCell ref="BF71:BG71"/>
    <mergeCell ref="BF72:BG72"/>
    <mergeCell ref="BK66:BN66"/>
    <mergeCell ref="BK67:BN67"/>
    <mergeCell ref="BK68:BN68"/>
    <mergeCell ref="BK69:BN69"/>
    <mergeCell ref="BK70:BN70"/>
    <mergeCell ref="BK71:BN71"/>
    <mergeCell ref="F81:L81"/>
    <mergeCell ref="AL67:AM67"/>
    <mergeCell ref="T80:V80"/>
    <mergeCell ref="T81:V81"/>
    <mergeCell ref="AL68:AM68"/>
    <mergeCell ref="I73:K73"/>
    <mergeCell ref="I74:K74"/>
    <mergeCell ref="I75:K75"/>
    <mergeCell ref="F67:F68"/>
    <mergeCell ref="I67:M67"/>
    <mergeCell ref="I68:K68"/>
    <mergeCell ref="R72:S72"/>
    <mergeCell ref="R73:S73"/>
    <mergeCell ref="L68:M68"/>
    <mergeCell ref="L69:M69"/>
    <mergeCell ref="L73:M73"/>
    <mergeCell ref="N69:O69"/>
    <mergeCell ref="N70:O70"/>
    <mergeCell ref="N71:O71"/>
    <mergeCell ref="N72:O72"/>
    <mergeCell ref="N67:O68"/>
    <mergeCell ref="N75:O75"/>
  </mergeCells>
  <printOptions horizontalCentered="1"/>
  <pageMargins left="0.11811023622047245" right="0" top="0.23622047244094491" bottom="0.19685039370078741" header="0.23622047244094491" footer="0"/>
  <pageSetup paperSize="9" scale="47" orientation="portrait" r:id="rId1"/>
  <headerFooter alignWithMargins="0"/>
  <colBreaks count="1" manualBreakCount="1">
    <brk id="44" max="85" man="1"/>
  </colBreaks>
  <ignoredErrors>
    <ignoredError sqref="U81:V81 U79:V79 U80:V8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93"/>
  <sheetViews>
    <sheetView showGridLines="0" view="pageBreakPreview" topLeftCell="B31" zoomScale="80" zoomScaleNormal="100" zoomScaleSheetLayoutView="80" workbookViewId="0">
      <selection activeCell="K50" sqref="K50:L50"/>
    </sheetView>
  </sheetViews>
  <sheetFormatPr defaultColWidth="2.6640625" defaultRowHeight="13.2"/>
  <cols>
    <col min="1" max="1" width="2" style="20" customWidth="1"/>
    <col min="2" max="2" width="2.44140625" style="20" customWidth="1"/>
    <col min="3" max="3" width="3.88671875" style="20" customWidth="1"/>
    <col min="4" max="4" width="4.109375" style="20" customWidth="1"/>
    <col min="5" max="9" width="3.88671875" style="20" customWidth="1"/>
    <col min="10" max="10" width="2.44140625" style="20" customWidth="1"/>
    <col min="11" max="12" width="4.5546875" style="20" customWidth="1"/>
    <col min="13" max="13" width="3.44140625" style="20" customWidth="1"/>
    <col min="14" max="14" width="4.5546875" style="20" customWidth="1"/>
    <col min="15" max="15" width="4.6640625" style="20" customWidth="1"/>
    <col min="16" max="16" width="8.6640625" style="20" customWidth="1"/>
    <col min="17" max="17" width="1.44140625" style="20" customWidth="1"/>
    <col min="18" max="18" width="8.6640625" style="20" customWidth="1"/>
    <col min="19" max="19" width="6.44140625" style="20" customWidth="1"/>
    <col min="20" max="21" width="4.5546875" style="20" customWidth="1"/>
    <col min="22" max="22" width="5.6640625" style="20" customWidth="1"/>
    <col min="23" max="23" width="4.5546875" style="20" customWidth="1"/>
    <col min="24" max="24" width="3.88671875" style="20" customWidth="1"/>
    <col min="25" max="25" width="3" style="20" customWidth="1"/>
    <col min="26" max="26" width="1" style="20" customWidth="1"/>
    <col min="27" max="27" width="10" style="20" customWidth="1"/>
    <col min="28" max="28" width="2.109375" style="20" customWidth="1"/>
    <col min="29" max="29" width="8.6640625" style="20" customWidth="1"/>
    <col min="30" max="30" width="0.88671875" style="20" customWidth="1"/>
    <col min="31" max="31" width="8.6640625" style="20" customWidth="1"/>
    <col min="32" max="32" width="1.5546875" style="20" customWidth="1"/>
    <col min="33" max="33" width="5.33203125" style="20" customWidth="1"/>
    <col min="34" max="34" width="3.44140625" style="20" customWidth="1"/>
    <col min="35" max="35" width="6.44140625" style="20" customWidth="1"/>
    <col min="36" max="36" width="5.5546875" style="20" customWidth="1"/>
    <col min="37" max="37" width="2" style="20" customWidth="1"/>
    <col min="38" max="38" width="5.44140625" style="20" customWidth="1"/>
    <col min="39" max="39" width="4.6640625" style="20" customWidth="1"/>
    <col min="40" max="40" width="6.109375" style="20" customWidth="1"/>
    <col min="41" max="41" width="3.88671875" style="20" customWidth="1"/>
    <col min="42" max="42" width="5.6640625" style="20" customWidth="1"/>
    <col min="43" max="43" width="2.33203125" style="20" customWidth="1"/>
    <col min="44" max="44" width="1.5546875" style="20" customWidth="1"/>
    <col min="45" max="47" width="2.6640625" style="20"/>
    <col min="48" max="48" width="5.5546875" style="20" bestFit="1" customWidth="1"/>
    <col min="49" max="49" width="2.6640625" style="20"/>
    <col min="50" max="50" width="5.5546875" style="20" bestFit="1" customWidth="1"/>
    <col min="51" max="51" width="2.6640625" style="20"/>
    <col min="52" max="52" width="8.5546875" style="20" bestFit="1" customWidth="1"/>
    <col min="53" max="16384" width="2.6640625" style="20"/>
  </cols>
  <sheetData>
    <row r="1" spans="1:44" ht="8.25" customHeight="1" thickBot="1">
      <c r="A1" s="18"/>
      <c r="B1" s="18"/>
      <c r="C1" s="19" t="s">
        <v>5</v>
      </c>
      <c r="D1" s="8" t="s">
        <v>5</v>
      </c>
      <c r="E1" s="8"/>
      <c r="F1" s="8"/>
      <c r="G1" s="8"/>
      <c r="H1" s="8"/>
      <c r="I1" s="8"/>
      <c r="J1" s="19" t="s">
        <v>5</v>
      </c>
      <c r="K1" s="8"/>
      <c r="L1" s="8"/>
      <c r="M1" s="8"/>
      <c r="N1" s="8"/>
      <c r="O1" s="8"/>
      <c r="P1" s="8"/>
      <c r="Q1" s="9"/>
      <c r="R1" s="8"/>
      <c r="T1" s="637"/>
      <c r="U1" s="637"/>
      <c r="V1" s="637"/>
      <c r="W1" s="637"/>
      <c r="X1" s="637"/>
      <c r="Y1" s="637"/>
      <c r="Z1" s="637"/>
      <c r="AA1" s="637"/>
      <c r="AB1" s="637"/>
      <c r="AC1" s="637"/>
      <c r="AD1" s="637"/>
      <c r="AE1" s="637"/>
      <c r="AF1" s="637"/>
      <c r="AG1" s="637"/>
      <c r="AH1" s="637"/>
      <c r="AI1" s="637"/>
      <c r="AJ1" s="637"/>
      <c r="AK1" s="637"/>
      <c r="AL1" s="637"/>
      <c r="AM1" s="637"/>
      <c r="AN1" s="637"/>
      <c r="AO1" s="637"/>
      <c r="AP1" s="637"/>
      <c r="AQ1" s="637"/>
      <c r="AR1" s="637"/>
    </row>
    <row r="2" spans="1:44" ht="33.75" customHeight="1" thickTop="1" thickBot="1">
      <c r="A2" s="489" t="s">
        <v>0</v>
      </c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  <c r="S2" s="490"/>
      <c r="T2" s="490"/>
      <c r="U2" s="490"/>
      <c r="V2" s="490"/>
      <c r="W2" s="490"/>
      <c r="X2" s="490"/>
      <c r="Y2" s="490"/>
      <c r="Z2" s="490"/>
      <c r="AA2" s="490"/>
      <c r="AB2" s="490"/>
      <c r="AC2" s="490"/>
      <c r="AD2" s="490"/>
      <c r="AE2" s="490"/>
      <c r="AF2" s="490"/>
      <c r="AG2" s="490"/>
      <c r="AH2" s="490"/>
      <c r="AI2" s="490"/>
      <c r="AJ2" s="490"/>
      <c r="AK2" s="490"/>
      <c r="AL2" s="490"/>
      <c r="AM2" s="490"/>
      <c r="AN2" s="490"/>
      <c r="AO2" s="490"/>
      <c r="AP2" s="490"/>
      <c r="AQ2" s="490"/>
      <c r="AR2" s="491"/>
    </row>
    <row r="3" spans="1:44" ht="9.9" customHeight="1" thickTop="1">
      <c r="A3" s="21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4" ht="9.9" customHeight="1">
      <c r="A4" s="21"/>
      <c r="B4" s="70"/>
      <c r="C4" s="71"/>
      <c r="D4" s="71"/>
      <c r="E4" s="71"/>
      <c r="F4" s="71"/>
      <c r="G4" s="72"/>
      <c r="H4" s="71"/>
      <c r="I4" s="71"/>
      <c r="J4" s="71"/>
      <c r="K4" s="71"/>
      <c r="L4" s="71"/>
      <c r="M4" s="71"/>
      <c r="N4" s="71"/>
      <c r="O4" s="71"/>
      <c r="P4" s="72"/>
      <c r="Q4" s="71"/>
      <c r="R4" s="71"/>
      <c r="S4" s="71"/>
      <c r="T4" s="71"/>
      <c r="U4" s="71"/>
      <c r="V4" s="71"/>
      <c r="W4" s="71"/>
      <c r="X4" s="71"/>
      <c r="Y4" s="72"/>
      <c r="Z4" s="71"/>
      <c r="AA4" s="71"/>
      <c r="AB4" s="71"/>
      <c r="AC4" s="71"/>
      <c r="AD4" s="71"/>
      <c r="AE4" s="71"/>
      <c r="AF4" s="71"/>
      <c r="AG4" s="71"/>
      <c r="AH4" s="71"/>
      <c r="AI4" s="72"/>
      <c r="AJ4" s="71"/>
      <c r="AK4" s="71"/>
      <c r="AL4" s="71"/>
      <c r="AM4" s="71"/>
      <c r="AN4" s="71"/>
      <c r="AO4" s="71"/>
      <c r="AP4" s="72"/>
      <c r="AQ4" s="73"/>
    </row>
    <row r="5" spans="1:44" ht="21.75" customHeight="1">
      <c r="B5" s="638" t="s">
        <v>1</v>
      </c>
      <c r="C5" s="639"/>
      <c r="D5" s="639"/>
      <c r="E5" s="639"/>
      <c r="F5" s="640"/>
      <c r="G5" s="67"/>
      <c r="H5" s="23"/>
      <c r="I5" s="6"/>
      <c r="J5" s="12"/>
      <c r="K5" s="639" t="s">
        <v>2</v>
      </c>
      <c r="L5" s="639"/>
      <c r="M5" s="639"/>
      <c r="N5" s="639"/>
      <c r="O5" s="640"/>
      <c r="P5" s="67"/>
      <c r="Q5" s="6"/>
      <c r="R5" s="13"/>
      <c r="S5" s="639" t="s">
        <v>21</v>
      </c>
      <c r="T5" s="639"/>
      <c r="U5" s="639"/>
      <c r="V5" s="639"/>
      <c r="W5" s="639"/>
      <c r="X5" s="640"/>
      <c r="Y5" s="68"/>
      <c r="Z5" s="13"/>
      <c r="AA5" s="6"/>
      <c r="AB5" s="13"/>
      <c r="AC5" s="12"/>
      <c r="AD5" s="12"/>
      <c r="AE5" s="639" t="s">
        <v>3</v>
      </c>
      <c r="AF5" s="639"/>
      <c r="AG5" s="639"/>
      <c r="AH5" s="640"/>
      <c r="AI5" s="67"/>
      <c r="AJ5" s="6"/>
      <c r="AK5" s="639" t="s">
        <v>23</v>
      </c>
      <c r="AL5" s="639"/>
      <c r="AM5" s="639"/>
      <c r="AN5" s="639"/>
      <c r="AO5" s="640"/>
      <c r="AP5" s="52" t="s">
        <v>5</v>
      </c>
      <c r="AQ5" s="121"/>
    </row>
    <row r="6" spans="1:44" ht="12.75" customHeight="1">
      <c r="B6" s="56"/>
      <c r="C6" s="57"/>
      <c r="D6" s="58"/>
      <c r="E6" s="59"/>
      <c r="F6" s="58"/>
      <c r="G6" s="58"/>
      <c r="H6" s="59"/>
      <c r="I6" s="59"/>
      <c r="J6" s="58"/>
      <c r="K6" s="58"/>
      <c r="L6" s="58"/>
      <c r="M6" s="58"/>
      <c r="N6" s="58"/>
      <c r="O6" s="58"/>
      <c r="P6" s="60"/>
      <c r="Q6" s="59"/>
      <c r="R6" s="61"/>
      <c r="S6" s="61"/>
      <c r="T6" s="58"/>
      <c r="U6" s="58"/>
      <c r="V6" s="58"/>
      <c r="W6" s="59"/>
      <c r="X6" s="61"/>
      <c r="Y6" s="62"/>
      <c r="Z6" s="61"/>
      <c r="AA6" s="59"/>
      <c r="AB6" s="61"/>
      <c r="AC6" s="58"/>
      <c r="AD6" s="58"/>
      <c r="AE6" s="58"/>
      <c r="AF6" s="58"/>
      <c r="AG6" s="58"/>
      <c r="AH6" s="58"/>
      <c r="AI6" s="60"/>
      <c r="AJ6" s="59"/>
      <c r="AK6" s="63"/>
      <c r="AL6" s="58"/>
      <c r="AM6" s="58"/>
      <c r="AN6" s="58"/>
      <c r="AO6" s="58"/>
      <c r="AP6" s="60"/>
      <c r="AQ6" s="64"/>
    </row>
    <row r="7" spans="1:44" ht="12.75" customHeight="1">
      <c r="B7" s="175"/>
      <c r="C7" s="11"/>
      <c r="D7" s="12"/>
      <c r="E7" s="6"/>
      <c r="F7" s="12"/>
      <c r="G7" s="12"/>
      <c r="H7" s="6"/>
      <c r="I7" s="6"/>
      <c r="J7" s="12"/>
      <c r="K7" s="12"/>
      <c r="L7" s="12"/>
      <c r="M7" s="12"/>
      <c r="N7" s="12"/>
      <c r="O7" s="12"/>
      <c r="P7" s="6"/>
      <c r="Q7" s="6"/>
      <c r="R7" s="13"/>
      <c r="S7" s="13"/>
      <c r="T7" s="12"/>
      <c r="U7" s="12"/>
      <c r="V7" s="12"/>
      <c r="W7" s="6"/>
      <c r="X7" s="13"/>
      <c r="Y7" s="13"/>
      <c r="Z7" s="13"/>
      <c r="AA7" s="6"/>
      <c r="AB7" s="13"/>
      <c r="AC7" s="12"/>
      <c r="AD7" s="12"/>
      <c r="AE7" s="12"/>
      <c r="AF7" s="12"/>
      <c r="AG7" s="12"/>
      <c r="AH7" s="12"/>
      <c r="AI7" s="6"/>
      <c r="AJ7" s="6"/>
      <c r="AK7" s="14"/>
      <c r="AL7" s="12"/>
      <c r="AM7" s="12"/>
      <c r="AN7" s="12"/>
      <c r="AO7" s="12"/>
      <c r="AP7" s="6"/>
      <c r="AQ7" s="175"/>
    </row>
    <row r="8" spans="1:44" ht="12.75" customHeight="1">
      <c r="B8" s="75"/>
      <c r="C8" s="76"/>
      <c r="D8" s="77"/>
      <c r="E8" s="24"/>
      <c r="F8" s="77"/>
      <c r="G8" s="77"/>
      <c r="H8" s="24"/>
      <c r="I8" s="24"/>
      <c r="J8" s="77"/>
      <c r="K8" s="77"/>
      <c r="L8" s="77"/>
      <c r="M8" s="77"/>
      <c r="N8" s="77"/>
      <c r="O8" s="77"/>
      <c r="P8" s="24"/>
      <c r="Q8" s="24"/>
      <c r="R8" s="25"/>
      <c r="S8" s="25"/>
      <c r="T8" s="77"/>
      <c r="U8" s="77"/>
      <c r="V8" s="77"/>
      <c r="W8" s="24"/>
      <c r="X8" s="25"/>
      <c r="Y8" s="25"/>
      <c r="Z8" s="25"/>
      <c r="AA8" s="24"/>
      <c r="AB8" s="25"/>
      <c r="AC8" s="77"/>
      <c r="AD8" s="77"/>
      <c r="AE8" s="77"/>
      <c r="AF8" s="77"/>
      <c r="AG8" s="77"/>
      <c r="AH8" s="77"/>
      <c r="AI8" s="24"/>
      <c r="AJ8" s="24"/>
      <c r="AK8" s="78"/>
      <c r="AL8" s="77"/>
      <c r="AM8" s="77"/>
      <c r="AN8" s="77"/>
      <c r="AO8" s="77"/>
      <c r="AP8" s="24"/>
      <c r="AQ8" s="79"/>
    </row>
    <row r="9" spans="1:44" ht="26.4" customHeight="1">
      <c r="A9" s="26"/>
      <c r="B9" s="80"/>
      <c r="C9" s="53" t="s">
        <v>27</v>
      </c>
      <c r="D9" s="6"/>
      <c r="E9" s="46"/>
      <c r="F9" s="46"/>
      <c r="G9" s="6"/>
      <c r="H9" s="28"/>
      <c r="I9" s="641"/>
      <c r="J9" s="642"/>
      <c r="K9" s="642"/>
      <c r="L9" s="642"/>
      <c r="M9" s="642"/>
      <c r="N9" s="642"/>
      <c r="O9" s="642"/>
      <c r="P9" s="642"/>
      <c r="Q9" s="642"/>
      <c r="R9" s="642"/>
      <c r="S9" s="642"/>
      <c r="T9" s="642"/>
      <c r="U9" s="642"/>
      <c r="V9" s="642"/>
      <c r="W9" s="642"/>
      <c r="X9" s="642"/>
      <c r="Y9" s="642"/>
      <c r="Z9" s="642"/>
      <c r="AA9" s="642"/>
      <c r="AB9" s="642"/>
      <c r="AC9" s="642"/>
      <c r="AD9" s="642"/>
      <c r="AE9" s="642"/>
      <c r="AF9" s="642"/>
      <c r="AG9" s="642"/>
      <c r="AH9" s="642"/>
      <c r="AI9" s="643"/>
      <c r="AJ9" s="27" t="s">
        <v>33</v>
      </c>
      <c r="AK9" s="27"/>
      <c r="AL9" s="28"/>
      <c r="AM9" s="29"/>
      <c r="AN9" s="27" t="s">
        <v>34</v>
      </c>
      <c r="AO9" s="28"/>
      <c r="AP9" s="29"/>
      <c r="AQ9" s="121"/>
    </row>
    <row r="10" spans="1:44" ht="9.9" customHeight="1">
      <c r="A10" s="26"/>
      <c r="B10" s="81"/>
      <c r="C10" s="1"/>
      <c r="D10" s="6"/>
      <c r="E10" s="12"/>
      <c r="F10" s="12"/>
      <c r="G10" s="6"/>
      <c r="H10" s="30"/>
      <c r="I10" s="30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121"/>
    </row>
    <row r="11" spans="1:44" s="31" customFormat="1" ht="26.4" customHeight="1">
      <c r="B11" s="82"/>
      <c r="C11" s="55" t="s">
        <v>17</v>
      </c>
      <c r="D11" s="17"/>
      <c r="E11" s="17"/>
      <c r="F11" s="17"/>
      <c r="G11" s="17"/>
      <c r="H11" s="28"/>
      <c r="I11" s="641"/>
      <c r="J11" s="642"/>
      <c r="K11" s="642"/>
      <c r="L11" s="642"/>
      <c r="M11" s="642"/>
      <c r="N11" s="642"/>
      <c r="O11" s="642"/>
      <c r="P11" s="642"/>
      <c r="Q11" s="642"/>
      <c r="R11" s="642"/>
      <c r="S11" s="642"/>
      <c r="T11" s="642"/>
      <c r="U11" s="642"/>
      <c r="V11" s="642"/>
      <c r="W11" s="642"/>
      <c r="X11" s="642"/>
      <c r="Y11" s="642"/>
      <c r="Z11" s="642"/>
      <c r="AA11" s="642"/>
      <c r="AB11" s="642"/>
      <c r="AC11" s="642"/>
      <c r="AD11" s="642"/>
      <c r="AE11" s="642"/>
      <c r="AF11" s="642"/>
      <c r="AG11" s="642"/>
      <c r="AH11" s="642"/>
      <c r="AI11" s="643"/>
      <c r="AJ11" s="17" t="s">
        <v>35</v>
      </c>
      <c r="AK11" s="27"/>
      <c r="AL11" s="28"/>
      <c r="AM11" s="28"/>
      <c r="AN11" s="641"/>
      <c r="AO11" s="642"/>
      <c r="AP11" s="643"/>
      <c r="AQ11" s="121"/>
    </row>
    <row r="12" spans="1:44" s="31" customFormat="1" ht="12" customHeight="1">
      <c r="B12" s="56"/>
      <c r="C12" s="83"/>
      <c r="D12" s="84"/>
      <c r="E12" s="84"/>
      <c r="F12" s="84"/>
      <c r="G12" s="84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84"/>
      <c r="AK12" s="85"/>
      <c r="AL12" s="86"/>
      <c r="AM12" s="86"/>
      <c r="AN12" s="87"/>
      <c r="AO12" s="87"/>
      <c r="AP12" s="87"/>
      <c r="AQ12" s="64"/>
    </row>
    <row r="13" spans="1:44" s="31" customFormat="1" ht="20.100000000000001" customHeight="1">
      <c r="B13" s="175"/>
      <c r="C13" s="54"/>
      <c r="D13" s="17"/>
      <c r="E13" s="17"/>
      <c r="F13" s="17"/>
      <c r="G13" s="17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7"/>
      <c r="AK13" s="27"/>
      <c r="AL13" s="28"/>
      <c r="AM13" s="28"/>
      <c r="AN13" s="45"/>
      <c r="AO13" s="45"/>
      <c r="AP13" s="45"/>
      <c r="AQ13" s="175"/>
    </row>
    <row r="14" spans="1:44" ht="25.5" customHeight="1">
      <c r="C14" s="582" t="s">
        <v>53</v>
      </c>
      <c r="D14" s="582"/>
      <c r="E14" s="582"/>
      <c r="F14" s="582"/>
      <c r="G14" s="582"/>
      <c r="H14" s="582"/>
      <c r="I14" s="582"/>
      <c r="J14" s="582"/>
      <c r="K14" s="582"/>
      <c r="L14" s="582"/>
      <c r="M14" s="582"/>
      <c r="N14" s="582"/>
      <c r="O14" s="582"/>
      <c r="P14" s="582"/>
      <c r="Q14" s="582"/>
      <c r="R14" s="582"/>
      <c r="S14" s="582"/>
      <c r="T14" s="582"/>
      <c r="U14" s="582"/>
      <c r="V14" s="582"/>
      <c r="W14" s="582"/>
      <c r="X14" s="582"/>
      <c r="Y14" s="582"/>
      <c r="Z14" s="582"/>
      <c r="AA14" s="582"/>
      <c r="AB14" s="582"/>
      <c r="AC14" s="582"/>
      <c r="AD14" s="582"/>
      <c r="AE14" s="582"/>
      <c r="AF14" s="582"/>
      <c r="AG14" s="582"/>
      <c r="AH14" s="582"/>
      <c r="AI14" s="582"/>
      <c r="AJ14" s="582"/>
      <c r="AK14" s="582"/>
      <c r="AL14" s="582"/>
      <c r="AM14" s="582"/>
      <c r="AN14" s="582"/>
      <c r="AO14" s="582"/>
      <c r="AP14" s="582"/>
      <c r="AQ14" s="160"/>
    </row>
    <row r="15" spans="1:44" s="92" customFormat="1" ht="6.9" customHeight="1">
      <c r="B15" s="161"/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162"/>
      <c r="AG15" s="162"/>
      <c r="AH15" s="162"/>
      <c r="AI15" s="162"/>
      <c r="AJ15" s="162"/>
      <c r="AK15" s="162"/>
      <c r="AL15" s="162"/>
      <c r="AM15" s="162"/>
      <c r="AN15" s="163"/>
      <c r="AO15" s="164"/>
      <c r="AP15" s="164"/>
      <c r="AQ15" s="165"/>
    </row>
    <row r="16" spans="1:44" ht="21.75" customHeight="1">
      <c r="B16" s="88"/>
      <c r="C16" s="89" t="s">
        <v>22</v>
      </c>
      <c r="D16" s="23"/>
      <c r="E16" s="578"/>
      <c r="F16" s="579"/>
      <c r="G16" s="579"/>
      <c r="H16" s="579"/>
      <c r="I16" s="580"/>
      <c r="J16" s="125" t="s">
        <v>11</v>
      </c>
      <c r="K16" s="22"/>
      <c r="L16" s="23"/>
      <c r="M16" s="89" t="s">
        <v>36</v>
      </c>
      <c r="N16" s="23"/>
      <c r="O16" s="23"/>
      <c r="P16" s="23"/>
      <c r="Q16" s="578" t="s">
        <v>37</v>
      </c>
      <c r="R16" s="579"/>
      <c r="S16" s="579"/>
      <c r="T16" s="579"/>
      <c r="U16" s="579"/>
      <c r="V16" s="580"/>
      <c r="W16" s="89" t="s">
        <v>38</v>
      </c>
      <c r="X16" s="89"/>
      <c r="Y16" s="578"/>
      <c r="Z16" s="579"/>
      <c r="AA16" s="579"/>
      <c r="AB16" s="579"/>
      <c r="AC16" s="579"/>
      <c r="AD16" s="579"/>
      <c r="AE16" s="579"/>
      <c r="AF16" s="579"/>
      <c r="AG16" s="580"/>
      <c r="AH16" s="569" t="s">
        <v>4</v>
      </c>
      <c r="AI16" s="571"/>
      <c r="AJ16" s="22"/>
      <c r="AK16" s="581" t="s">
        <v>43</v>
      </c>
      <c r="AL16" s="556"/>
      <c r="AM16" s="176"/>
      <c r="AN16" s="177"/>
      <c r="AO16" s="177"/>
      <c r="AP16" s="178"/>
      <c r="AQ16" s="121"/>
    </row>
    <row r="17" spans="2:43" s="92" customFormat="1" ht="6.9" customHeight="1">
      <c r="B17" s="95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4"/>
      <c r="AO17" s="116"/>
      <c r="AP17" s="116"/>
      <c r="AQ17" s="96"/>
    </row>
    <row r="18" spans="2:43" ht="21.75" customHeight="1">
      <c r="B18" s="88"/>
      <c r="C18" s="89" t="s">
        <v>6</v>
      </c>
      <c r="D18" s="23"/>
      <c r="E18" s="23"/>
      <c r="F18" s="23"/>
      <c r="G18" s="578"/>
      <c r="H18" s="579"/>
      <c r="I18" s="579"/>
      <c r="J18" s="579"/>
      <c r="K18" s="580"/>
      <c r="L18" s="23"/>
      <c r="M18" s="89" t="s">
        <v>111</v>
      </c>
      <c r="N18" s="23"/>
      <c r="O18" s="23"/>
      <c r="P18" s="23"/>
      <c r="Q18" s="23"/>
      <c r="R18" s="23"/>
      <c r="S18" s="578"/>
      <c r="T18" s="579"/>
      <c r="U18" s="579"/>
      <c r="V18" s="579"/>
      <c r="W18" s="580"/>
      <c r="X18" s="581" t="s">
        <v>39</v>
      </c>
      <c r="Y18" s="556"/>
      <c r="Z18" s="143"/>
      <c r="AA18" s="118"/>
      <c r="AB18" s="119"/>
      <c r="AC18" s="23"/>
      <c r="AD18" s="23"/>
      <c r="AE18" s="556" t="s">
        <v>44</v>
      </c>
      <c r="AF18" s="556"/>
      <c r="AG18" s="556"/>
      <c r="AH18" s="556"/>
      <c r="AI18" s="118"/>
      <c r="AJ18" s="179"/>
      <c r="AK18" s="179"/>
      <c r="AL18" s="179"/>
      <c r="AM18" s="179"/>
      <c r="AN18" s="179"/>
      <c r="AO18" s="179"/>
      <c r="AP18" s="178"/>
      <c r="AQ18" s="121"/>
    </row>
    <row r="19" spans="2:43" s="92" customFormat="1" ht="6.9" customHeight="1">
      <c r="B19" s="95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4"/>
      <c r="AO19" s="116"/>
      <c r="AP19" s="116"/>
      <c r="AQ19" s="96"/>
    </row>
    <row r="20" spans="2:43" ht="21.75" customHeight="1">
      <c r="B20" s="88"/>
      <c r="C20" s="555" t="s">
        <v>7</v>
      </c>
      <c r="D20" s="555"/>
      <c r="E20" s="555"/>
      <c r="F20" s="555"/>
      <c r="G20" s="555"/>
      <c r="H20" s="577"/>
      <c r="I20" s="578"/>
      <c r="J20" s="579"/>
      <c r="K20" s="579"/>
      <c r="L20" s="579"/>
      <c r="M20" s="580"/>
      <c r="N20" s="16"/>
      <c r="O20" s="555" t="s">
        <v>45</v>
      </c>
      <c r="P20" s="555"/>
      <c r="Q20" s="555"/>
      <c r="R20" s="555"/>
      <c r="S20" s="555"/>
      <c r="T20" s="482"/>
      <c r="U20" s="483"/>
      <c r="V20" s="483"/>
      <c r="W20" s="484"/>
      <c r="X20" s="89"/>
      <c r="Y20" s="555" t="s">
        <v>114</v>
      </c>
      <c r="Z20" s="555"/>
      <c r="AA20" s="555"/>
      <c r="AB20" s="555"/>
      <c r="AC20" s="555"/>
      <c r="AD20" s="140"/>
      <c r="AE20" s="482"/>
      <c r="AF20" s="483"/>
      <c r="AG20" s="483"/>
      <c r="AH20" s="484"/>
      <c r="AI20" s="90"/>
      <c r="AJ20" s="89" t="s">
        <v>46</v>
      </c>
      <c r="AK20" s="23"/>
      <c r="AL20" s="23"/>
      <c r="AM20" s="118"/>
      <c r="AN20" s="179"/>
      <c r="AO20" s="179"/>
      <c r="AP20" s="178"/>
      <c r="AQ20" s="121"/>
    </row>
    <row r="21" spans="2:43" s="92" customFormat="1" ht="6.9" customHeight="1">
      <c r="B21" s="95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4"/>
      <c r="AO21" s="116"/>
      <c r="AP21" s="116"/>
      <c r="AQ21" s="96"/>
    </row>
    <row r="22" spans="2:43" ht="21.75" customHeight="1">
      <c r="B22" s="88"/>
      <c r="C22" s="556" t="s">
        <v>112</v>
      </c>
      <c r="D22" s="563"/>
      <c r="E22" s="634"/>
      <c r="F22" s="635"/>
      <c r="G22" s="635"/>
      <c r="H22" s="636"/>
      <c r="I22" s="581" t="s">
        <v>47</v>
      </c>
      <c r="J22" s="556"/>
      <c r="K22" s="578"/>
      <c r="L22" s="580"/>
      <c r="M22" s="143" t="s">
        <v>10</v>
      </c>
      <c r="N22" s="578"/>
      <c r="O22" s="580"/>
      <c r="P22" s="581" t="s">
        <v>32</v>
      </c>
      <c r="Q22" s="556"/>
      <c r="R22" s="563"/>
      <c r="S22" s="578"/>
      <c r="T22" s="579"/>
      <c r="U22" s="579"/>
      <c r="V22" s="580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570" t="s">
        <v>103</v>
      </c>
      <c r="AH22" s="570"/>
      <c r="AI22" s="570"/>
      <c r="AJ22" s="570"/>
      <c r="AK22" s="570"/>
      <c r="AL22" s="578"/>
      <c r="AM22" s="579"/>
      <c r="AN22" s="579"/>
      <c r="AO22" s="579"/>
      <c r="AP22" s="580"/>
      <c r="AQ22" s="121"/>
    </row>
    <row r="23" spans="2:43" s="92" customFormat="1" ht="6.9" customHeight="1">
      <c r="B23" s="95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49"/>
      <c r="AJ23" s="116"/>
      <c r="AK23" s="116"/>
      <c r="AL23" s="116"/>
      <c r="AM23" s="116"/>
      <c r="AN23" s="116"/>
      <c r="AO23" s="116"/>
      <c r="AP23" s="116"/>
      <c r="AQ23" s="96"/>
    </row>
    <row r="24" spans="2:43" ht="21.75" customHeight="1">
      <c r="B24" s="88"/>
      <c r="C24" s="555" t="s">
        <v>48</v>
      </c>
      <c r="D24" s="577"/>
      <c r="E24" s="578"/>
      <c r="F24" s="579"/>
      <c r="G24" s="579"/>
      <c r="H24" s="580"/>
      <c r="I24" s="581" t="s">
        <v>49</v>
      </c>
      <c r="J24" s="556"/>
      <c r="K24" s="556"/>
      <c r="L24" s="556"/>
      <c r="M24" s="563"/>
      <c r="N24" s="578"/>
      <c r="O24" s="580"/>
      <c r="P24" s="143" t="s">
        <v>10</v>
      </c>
      <c r="Q24" s="578"/>
      <c r="R24" s="580"/>
      <c r="S24" s="581" t="s">
        <v>32</v>
      </c>
      <c r="T24" s="556"/>
      <c r="U24" s="563"/>
      <c r="V24" s="578"/>
      <c r="W24" s="579"/>
      <c r="X24" s="579"/>
      <c r="Y24" s="580"/>
      <c r="Z24" s="125"/>
      <c r="AA24" s="23"/>
      <c r="AB24" s="556" t="s">
        <v>51</v>
      </c>
      <c r="AC24" s="556"/>
      <c r="AD24" s="143"/>
      <c r="AE24" s="578"/>
      <c r="AF24" s="579"/>
      <c r="AG24" s="579"/>
      <c r="AH24" s="579"/>
      <c r="AI24" s="580"/>
      <c r="AJ24" s="125"/>
      <c r="AK24" s="556" t="s">
        <v>52</v>
      </c>
      <c r="AL24" s="556"/>
      <c r="AM24" s="556"/>
      <c r="AN24" s="578"/>
      <c r="AO24" s="579"/>
      <c r="AP24" s="580"/>
      <c r="AQ24" s="121"/>
    </row>
    <row r="25" spans="2:43" s="92" customFormat="1" ht="6.9" customHeight="1">
      <c r="B25" s="95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49"/>
      <c r="AJ25" s="116"/>
      <c r="AK25" s="116"/>
      <c r="AL25" s="116"/>
      <c r="AM25" s="116"/>
      <c r="AN25" s="116"/>
      <c r="AO25" s="116"/>
      <c r="AP25" s="116"/>
      <c r="AQ25" s="96"/>
    </row>
    <row r="26" spans="2:43" ht="21.75" customHeight="1">
      <c r="B26" s="88"/>
      <c r="C26" s="555" t="s">
        <v>50</v>
      </c>
      <c r="D26" s="555"/>
      <c r="E26" s="555"/>
      <c r="F26" s="555"/>
      <c r="G26" s="577"/>
      <c r="H26" s="578"/>
      <c r="I26" s="579"/>
      <c r="J26" s="579"/>
      <c r="K26" s="579"/>
      <c r="L26" s="579"/>
      <c r="M26" s="580"/>
      <c r="N26" s="581" t="s">
        <v>25</v>
      </c>
      <c r="O26" s="556"/>
      <c r="P26" s="578"/>
      <c r="Q26" s="580"/>
      <c r="R26" s="581" t="s">
        <v>26</v>
      </c>
      <c r="S26" s="556"/>
      <c r="T26" s="578"/>
      <c r="U26" s="580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153"/>
      <c r="AJ26" s="125"/>
      <c r="AK26" s="125"/>
      <c r="AL26" s="125"/>
      <c r="AM26" s="125"/>
      <c r="AN26" s="125"/>
      <c r="AO26" s="125"/>
      <c r="AP26" s="148"/>
      <c r="AQ26" s="121"/>
    </row>
    <row r="27" spans="2:43" s="92" customFormat="1" ht="6.9" customHeight="1">
      <c r="B27" s="95"/>
      <c r="C27" s="97"/>
      <c r="D27" s="97"/>
      <c r="E27" s="97"/>
      <c r="F27" s="97"/>
      <c r="G27" s="97"/>
      <c r="H27" s="116"/>
      <c r="I27" s="116"/>
      <c r="J27" s="116"/>
      <c r="K27" s="116"/>
      <c r="L27" s="116"/>
      <c r="M27" s="116"/>
      <c r="N27" s="98"/>
      <c r="O27" s="98"/>
      <c r="P27" s="116"/>
      <c r="Q27" s="116"/>
      <c r="R27" s="98"/>
      <c r="S27" s="98"/>
      <c r="T27" s="116"/>
      <c r="U27" s="116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49"/>
      <c r="AJ27" s="116"/>
      <c r="AK27" s="116"/>
      <c r="AL27" s="116"/>
      <c r="AM27" s="116"/>
      <c r="AN27" s="116"/>
      <c r="AO27" s="116"/>
      <c r="AP27" s="116"/>
      <c r="AQ27" s="96"/>
    </row>
    <row r="28" spans="2:43" ht="19.5" customHeight="1">
      <c r="B28" s="88"/>
      <c r="C28" s="625" t="s">
        <v>40</v>
      </c>
      <c r="D28" s="625"/>
      <c r="E28" s="625"/>
      <c r="F28" s="625"/>
      <c r="G28" s="625"/>
      <c r="H28" s="625"/>
      <c r="I28" s="626" t="s">
        <v>41</v>
      </c>
      <c r="J28" s="626"/>
      <c r="K28" s="626"/>
      <c r="L28" s="626"/>
      <c r="M28" s="626"/>
      <c r="N28" s="626"/>
      <c r="O28" s="626"/>
      <c r="P28" s="626"/>
      <c r="Q28" s="626"/>
      <c r="R28" s="626"/>
      <c r="S28" s="626"/>
      <c r="T28" s="23"/>
      <c r="U28" s="633" t="s">
        <v>42</v>
      </c>
      <c r="V28" s="633"/>
      <c r="W28" s="23"/>
      <c r="X28" s="625" t="s">
        <v>12</v>
      </c>
      <c r="Y28" s="625"/>
      <c r="Z28" s="625"/>
      <c r="AA28" s="625"/>
      <c r="AB28" s="625"/>
      <c r="AC28" s="23"/>
      <c r="AD28" s="23"/>
      <c r="AE28" s="626" t="s">
        <v>13</v>
      </c>
      <c r="AF28" s="626"/>
      <c r="AG28" s="626"/>
      <c r="AH28" s="626"/>
      <c r="AI28" s="626"/>
      <c r="AJ28" s="125" t="s">
        <v>10</v>
      </c>
      <c r="AK28" s="23"/>
      <c r="AL28" s="625" t="s">
        <v>14</v>
      </c>
      <c r="AM28" s="625"/>
      <c r="AN28" s="625"/>
      <c r="AO28" s="625"/>
      <c r="AP28" s="10"/>
      <c r="AQ28" s="121"/>
    </row>
    <row r="29" spans="2:43" ht="21.75" customHeight="1">
      <c r="B29" s="88"/>
      <c r="C29" s="91"/>
      <c r="D29" s="101" t="s">
        <v>104</v>
      </c>
      <c r="E29" s="627" t="s">
        <v>98</v>
      </c>
      <c r="F29" s="628"/>
      <c r="G29" s="628"/>
      <c r="H29" s="629"/>
      <c r="I29" s="630"/>
      <c r="J29" s="631"/>
      <c r="K29" s="631"/>
      <c r="L29" s="631"/>
      <c r="M29" s="631"/>
      <c r="N29" s="631"/>
      <c r="O29" s="631"/>
      <c r="P29" s="631"/>
      <c r="Q29" s="631"/>
      <c r="R29" s="631"/>
      <c r="S29" s="632"/>
      <c r="T29" s="6"/>
      <c r="U29" s="578"/>
      <c r="V29" s="580"/>
      <c r="W29" s="6"/>
      <c r="X29" s="578"/>
      <c r="Y29" s="579"/>
      <c r="Z29" s="579"/>
      <c r="AA29" s="579"/>
      <c r="AB29" s="579"/>
      <c r="AC29" s="580"/>
      <c r="AD29" s="6"/>
      <c r="AE29" s="578"/>
      <c r="AF29" s="579"/>
      <c r="AG29" s="579"/>
      <c r="AH29" s="579"/>
      <c r="AI29" s="580"/>
      <c r="AJ29" s="22"/>
      <c r="AK29" s="16"/>
      <c r="AL29" s="578"/>
      <c r="AM29" s="579"/>
      <c r="AN29" s="579"/>
      <c r="AO29" s="579"/>
      <c r="AP29" s="580"/>
      <c r="AQ29" s="121"/>
    </row>
    <row r="30" spans="2:43" s="92" customFormat="1" ht="6.9" customHeight="1">
      <c r="B30" s="95"/>
      <c r="C30" s="116"/>
      <c r="D30" s="116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4"/>
      <c r="AQ30" s="96"/>
    </row>
    <row r="31" spans="2:43" s="92" customFormat="1" ht="6.9" customHeight="1">
      <c r="B31" s="95"/>
      <c r="C31" s="116"/>
      <c r="D31" s="116"/>
      <c r="E31" s="93"/>
      <c r="F31" s="93"/>
      <c r="G31" s="93"/>
      <c r="H31" s="93"/>
      <c r="I31" s="93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6"/>
    </row>
    <row r="32" spans="2:43" ht="21.75" customHeight="1">
      <c r="B32" s="88"/>
      <c r="C32" s="555" t="s">
        <v>77</v>
      </c>
      <c r="D32" s="577"/>
      <c r="E32" s="578"/>
      <c r="F32" s="579"/>
      <c r="G32" s="579"/>
      <c r="H32" s="579"/>
      <c r="I32" s="579"/>
      <c r="J32" s="579"/>
      <c r="K32" s="579"/>
      <c r="L32" s="579"/>
      <c r="M32" s="579"/>
      <c r="N32" s="579"/>
      <c r="O32" s="579"/>
      <c r="P32" s="579"/>
      <c r="Q32" s="579"/>
      <c r="R32" s="579"/>
      <c r="S32" s="579"/>
      <c r="T32" s="580"/>
      <c r="U32" s="16"/>
      <c r="V32" s="556" t="s">
        <v>78</v>
      </c>
      <c r="W32" s="556"/>
      <c r="X32" s="578"/>
      <c r="Y32" s="579"/>
      <c r="Z32" s="579"/>
      <c r="AA32" s="579"/>
      <c r="AB32" s="579"/>
      <c r="AC32" s="579"/>
      <c r="AD32" s="579"/>
      <c r="AE32" s="579"/>
      <c r="AF32" s="579"/>
      <c r="AG32" s="579"/>
      <c r="AH32" s="579"/>
      <c r="AI32" s="579"/>
      <c r="AJ32" s="579"/>
      <c r="AK32" s="579"/>
      <c r="AL32" s="579"/>
      <c r="AM32" s="579"/>
      <c r="AN32" s="579"/>
      <c r="AO32" s="579"/>
      <c r="AP32" s="580"/>
      <c r="AQ32" s="121"/>
    </row>
    <row r="33" spans="2:43" s="92" customFormat="1" ht="6.9" customHeight="1">
      <c r="B33" s="95"/>
      <c r="C33" s="99"/>
      <c r="D33" s="99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96"/>
    </row>
    <row r="34" spans="2:43" s="92" customFormat="1" ht="9" customHeight="1">
      <c r="B34" s="95"/>
      <c r="C34" s="99"/>
      <c r="D34" s="99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6"/>
      <c r="AQ34" s="96"/>
    </row>
    <row r="35" spans="2:43" ht="24" customHeight="1">
      <c r="B35" s="35"/>
      <c r="C35" s="549" t="s">
        <v>54</v>
      </c>
      <c r="D35" s="549"/>
      <c r="E35" s="549"/>
      <c r="F35" s="549"/>
      <c r="G35" s="549"/>
      <c r="H35" s="549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Y35" s="549"/>
      <c r="Z35" s="549"/>
      <c r="AA35" s="549"/>
      <c r="AB35" s="549"/>
      <c r="AC35" s="549"/>
      <c r="AD35" s="549"/>
      <c r="AE35" s="549"/>
      <c r="AF35" s="549"/>
      <c r="AG35" s="549"/>
      <c r="AH35" s="549"/>
      <c r="AI35" s="549"/>
      <c r="AJ35" s="549"/>
      <c r="AK35" s="549"/>
      <c r="AL35" s="549"/>
      <c r="AM35" s="549"/>
      <c r="AN35" s="549"/>
      <c r="AO35" s="549"/>
      <c r="AP35" s="549"/>
      <c r="AQ35" s="166"/>
    </row>
    <row r="36" spans="2:43" ht="6.9" customHeight="1">
      <c r="B36" s="35"/>
      <c r="C36" s="115"/>
      <c r="D36" s="115"/>
      <c r="E36" s="115"/>
      <c r="F36" s="115"/>
      <c r="G36" s="115"/>
      <c r="H36" s="148"/>
      <c r="I36" s="148"/>
      <c r="J36" s="148"/>
      <c r="K36" s="148"/>
      <c r="L36" s="148"/>
      <c r="M36" s="148"/>
      <c r="N36" s="155"/>
      <c r="O36" s="155"/>
      <c r="P36" s="148"/>
      <c r="Q36" s="148"/>
      <c r="R36" s="155"/>
      <c r="S36" s="155"/>
      <c r="T36" s="148"/>
      <c r="U36" s="148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49"/>
      <c r="AJ36" s="116"/>
      <c r="AK36" s="116"/>
      <c r="AL36" s="148"/>
      <c r="AM36" s="148"/>
      <c r="AN36" s="148"/>
      <c r="AO36" s="148"/>
      <c r="AP36" s="148"/>
      <c r="AQ36" s="117"/>
    </row>
    <row r="37" spans="2:43" ht="21.75" customHeight="1">
      <c r="B37" s="88"/>
      <c r="C37" s="618" t="s">
        <v>55</v>
      </c>
      <c r="D37" s="618"/>
      <c r="E37" s="618"/>
      <c r="F37" s="618"/>
      <c r="G37" s="618"/>
      <c r="H37" s="619" t="s">
        <v>17</v>
      </c>
      <c r="I37" s="620"/>
      <c r="J37" s="620"/>
      <c r="K37" s="620"/>
      <c r="L37" s="614"/>
      <c r="M37" s="148"/>
      <c r="N37" s="556" t="s">
        <v>9</v>
      </c>
      <c r="O37" s="556"/>
      <c r="P37" s="556"/>
      <c r="Q37" s="556"/>
      <c r="R37" s="556"/>
      <c r="S37" s="621"/>
      <c r="T37" s="622"/>
      <c r="U37" s="622"/>
      <c r="V37" s="622"/>
      <c r="W37" s="623"/>
      <c r="X37" s="10"/>
      <c r="Y37" s="556" t="s">
        <v>56</v>
      </c>
      <c r="Z37" s="556"/>
      <c r="AA37" s="563"/>
      <c r="AB37" s="621"/>
      <c r="AC37" s="622"/>
      <c r="AD37" s="622"/>
      <c r="AE37" s="622"/>
      <c r="AF37" s="622"/>
      <c r="AG37" s="622"/>
      <c r="AH37" s="623"/>
      <c r="AI37" s="49"/>
      <c r="AK37" s="143"/>
      <c r="AN37" s="143" t="s">
        <v>57</v>
      </c>
      <c r="AP37" s="41"/>
      <c r="AQ37" s="121"/>
    </row>
    <row r="38" spans="2:43" ht="6.9" customHeight="1">
      <c r="B38" s="88"/>
      <c r="C38" s="618"/>
      <c r="D38" s="618"/>
      <c r="E38" s="618"/>
      <c r="F38" s="618"/>
      <c r="G38" s="618"/>
      <c r="H38" s="148"/>
      <c r="I38" s="148"/>
      <c r="J38" s="148"/>
      <c r="K38" s="148"/>
      <c r="L38" s="148"/>
      <c r="M38" s="148"/>
      <c r="N38" s="155"/>
      <c r="O38" s="155"/>
      <c r="P38" s="155"/>
      <c r="Q38" s="155"/>
      <c r="R38" s="155"/>
      <c r="S38" s="148"/>
      <c r="T38" s="148"/>
      <c r="U38" s="148"/>
      <c r="V38" s="148"/>
      <c r="W38" s="148"/>
      <c r="X38" s="10"/>
      <c r="Y38" s="155"/>
      <c r="Z38" s="155"/>
      <c r="AA38" s="155"/>
      <c r="AB38" s="148"/>
      <c r="AC38" s="148"/>
      <c r="AD38" s="148"/>
      <c r="AE38" s="148"/>
      <c r="AF38" s="148"/>
      <c r="AG38" s="148"/>
      <c r="AH38" s="148"/>
      <c r="AI38" s="49"/>
      <c r="AJ38" s="116"/>
      <c r="AK38" s="116"/>
      <c r="AL38" s="148"/>
      <c r="AM38" s="148"/>
      <c r="AN38" s="148"/>
      <c r="AO38" s="148"/>
      <c r="AP38" s="148"/>
      <c r="AQ38" s="121"/>
    </row>
    <row r="39" spans="2:43" ht="21.75" customHeight="1">
      <c r="B39" s="88"/>
      <c r="C39" s="618"/>
      <c r="D39" s="618"/>
      <c r="E39" s="618"/>
      <c r="F39" s="618"/>
      <c r="G39" s="618"/>
      <c r="H39" s="556" t="s">
        <v>31</v>
      </c>
      <c r="I39" s="556"/>
      <c r="J39" s="563"/>
      <c r="K39" s="621"/>
      <c r="L39" s="622"/>
      <c r="M39" s="622"/>
      <c r="N39" s="622"/>
      <c r="O39" s="622"/>
      <c r="P39" s="622"/>
      <c r="Q39" s="622"/>
      <c r="R39" s="622"/>
      <c r="S39" s="623"/>
      <c r="T39" s="148"/>
      <c r="U39" s="624" t="s">
        <v>58</v>
      </c>
      <c r="V39" s="624"/>
      <c r="W39" s="624"/>
      <c r="X39" s="624"/>
      <c r="Y39" s="624"/>
      <c r="Z39" s="624"/>
      <c r="AA39" s="624"/>
      <c r="AB39" s="556" t="s">
        <v>18</v>
      </c>
      <c r="AC39" s="556"/>
      <c r="AD39" s="144"/>
      <c r="AE39" s="15"/>
      <c r="AF39" s="556" t="s">
        <v>125</v>
      </c>
      <c r="AG39" s="556"/>
      <c r="AI39" s="15"/>
      <c r="AK39" s="143"/>
      <c r="AL39" s="143"/>
      <c r="AN39" s="143" t="s">
        <v>24</v>
      </c>
      <c r="AO39" s="148"/>
      <c r="AP39" s="41"/>
      <c r="AQ39" s="121"/>
    </row>
    <row r="40" spans="2:43" ht="6.9" customHeight="1">
      <c r="B40" s="88"/>
      <c r="C40" s="42"/>
      <c r="D40" s="42"/>
      <c r="E40" s="42"/>
      <c r="F40" s="42"/>
      <c r="G40" s="42"/>
      <c r="H40" s="155"/>
      <c r="I40" s="155"/>
      <c r="J40" s="155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54"/>
      <c r="V40" s="154"/>
      <c r="W40" s="154"/>
      <c r="X40" s="154"/>
      <c r="Y40" s="154"/>
      <c r="Z40" s="154"/>
      <c r="AA40" s="154"/>
      <c r="AB40" s="155"/>
      <c r="AC40" s="155"/>
      <c r="AD40" s="155"/>
      <c r="AE40" s="10"/>
      <c r="AF40" s="155"/>
      <c r="AG40" s="155"/>
      <c r="AH40" s="10"/>
      <c r="AI40" s="49"/>
      <c r="AJ40" s="155"/>
      <c r="AK40" s="155"/>
      <c r="AL40" s="155"/>
      <c r="AM40" s="155"/>
      <c r="AN40" s="148"/>
      <c r="AO40" s="148"/>
      <c r="AP40" s="148"/>
      <c r="AQ40" s="121"/>
    </row>
    <row r="41" spans="2:43" ht="20.100000000000001" customHeight="1">
      <c r="B41" s="88"/>
      <c r="C41" s="570" t="s">
        <v>65</v>
      </c>
      <c r="D41" s="570"/>
      <c r="E41" s="570"/>
      <c r="F41" s="570"/>
      <c r="G41" s="570"/>
      <c r="H41" s="570"/>
      <c r="I41" s="570"/>
      <c r="J41" s="570"/>
      <c r="K41" s="570"/>
      <c r="L41" s="148"/>
      <c r="M41" s="556" t="s">
        <v>63</v>
      </c>
      <c r="N41" s="556"/>
      <c r="O41" s="556"/>
      <c r="P41" s="556"/>
      <c r="Q41" s="556"/>
      <c r="R41" s="556"/>
      <c r="S41" s="556"/>
      <c r="T41" s="556"/>
      <c r="U41" s="556"/>
      <c r="V41" s="556"/>
      <c r="W41" s="556"/>
      <c r="X41" s="556"/>
      <c r="Y41" s="556"/>
      <c r="Z41" s="556"/>
      <c r="AA41" s="556"/>
      <c r="AB41" s="556"/>
      <c r="AC41" s="556"/>
      <c r="AD41" s="556"/>
      <c r="AE41" s="556"/>
      <c r="AF41" s="556"/>
      <c r="AG41" s="556"/>
      <c r="AH41" s="556"/>
      <c r="AI41" s="556"/>
      <c r="AJ41" s="556"/>
      <c r="AK41" s="556"/>
      <c r="AL41" s="556"/>
      <c r="AM41" s="556"/>
      <c r="AN41" s="556"/>
      <c r="AO41" s="148"/>
      <c r="AP41" s="148"/>
      <c r="AQ41" s="121"/>
    </row>
    <row r="42" spans="2:43" ht="21.75" customHeight="1">
      <c r="B42" s="88"/>
      <c r="C42" s="448" t="s">
        <v>64</v>
      </c>
      <c r="D42" s="448"/>
      <c r="E42" s="612"/>
      <c r="F42" s="613"/>
      <c r="G42" s="614"/>
      <c r="H42" s="614"/>
      <c r="I42" s="614"/>
      <c r="J42" s="614"/>
      <c r="K42" s="43"/>
      <c r="L42" s="148"/>
      <c r="M42" s="556" t="s">
        <v>60</v>
      </c>
      <c r="N42" s="556"/>
      <c r="O42" s="556"/>
      <c r="P42" s="556"/>
      <c r="Q42" s="556"/>
      <c r="R42" s="41"/>
      <c r="T42" s="143"/>
      <c r="W42" s="145" t="s">
        <v>59</v>
      </c>
      <c r="AA42" s="15"/>
      <c r="AE42" s="145" t="s">
        <v>61</v>
      </c>
      <c r="AG42" s="155"/>
      <c r="AI42" s="15"/>
      <c r="AK42" s="148"/>
      <c r="AM42" s="148" t="s">
        <v>62</v>
      </c>
      <c r="AN42" s="148"/>
      <c r="AO42" s="148"/>
      <c r="AP42" s="156"/>
      <c r="AQ42" s="121"/>
    </row>
    <row r="43" spans="2:43" ht="6.9" customHeight="1">
      <c r="B43" s="88"/>
      <c r="C43" s="17"/>
      <c r="D43" s="17"/>
      <c r="E43" s="17"/>
      <c r="F43" s="10"/>
      <c r="G43" s="10"/>
      <c r="H43" s="50"/>
      <c r="I43" s="10"/>
      <c r="J43" s="10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54"/>
      <c r="V43" s="154"/>
      <c r="W43" s="154"/>
      <c r="X43" s="154"/>
      <c r="Y43" s="154"/>
      <c r="Z43" s="154"/>
      <c r="AA43" s="154"/>
      <c r="AB43" s="155"/>
      <c r="AC43" s="155"/>
      <c r="AD43" s="155"/>
      <c r="AE43" s="10"/>
      <c r="AF43" s="155"/>
      <c r="AG43" s="155"/>
      <c r="AH43" s="10"/>
      <c r="AI43" s="49"/>
      <c r="AJ43" s="155"/>
      <c r="AK43" s="155"/>
      <c r="AL43" s="155"/>
      <c r="AM43" s="155"/>
      <c r="AN43" s="148"/>
      <c r="AO43" s="148"/>
      <c r="AP43" s="148"/>
      <c r="AQ43" s="121"/>
    </row>
    <row r="44" spans="2:43" ht="6.9" customHeight="1">
      <c r="B44" s="88"/>
      <c r="C44" s="152"/>
      <c r="D44" s="152"/>
      <c r="E44" s="152"/>
      <c r="F44" s="42"/>
      <c r="G44" s="42"/>
      <c r="H44" s="42"/>
      <c r="I44" s="42"/>
      <c r="J44" s="42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54"/>
      <c r="V44" s="154"/>
      <c r="W44" s="154"/>
      <c r="X44" s="154"/>
      <c r="Y44" s="154"/>
      <c r="Z44" s="154"/>
      <c r="AA44" s="154"/>
      <c r="AB44" s="155"/>
      <c r="AC44" s="155"/>
      <c r="AD44" s="155"/>
      <c r="AE44" s="10"/>
      <c r="AF44" s="155"/>
      <c r="AG44" s="155"/>
      <c r="AH44" s="10"/>
      <c r="AI44" s="49"/>
      <c r="AJ44" s="155"/>
      <c r="AK44" s="155"/>
      <c r="AL44" s="155"/>
      <c r="AM44" s="155"/>
      <c r="AN44" s="148"/>
      <c r="AO44" s="148"/>
      <c r="AP44" s="148"/>
      <c r="AQ44" s="121"/>
    </row>
    <row r="45" spans="2:43" ht="21.75" customHeight="1">
      <c r="B45" s="88"/>
      <c r="C45" s="556" t="s">
        <v>66</v>
      </c>
      <c r="D45" s="556"/>
      <c r="E45" s="556"/>
      <c r="F45" s="556"/>
      <c r="G45" s="556"/>
      <c r="H45" s="556"/>
      <c r="I45" s="615"/>
      <c r="J45" s="616"/>
      <c r="K45" s="148"/>
      <c r="L45" s="10"/>
      <c r="M45" s="617" t="s">
        <v>68</v>
      </c>
      <c r="N45" s="617"/>
      <c r="O45" s="617"/>
      <c r="P45" s="617"/>
      <c r="Q45" s="617"/>
      <c r="R45" s="617"/>
      <c r="S45" s="617"/>
      <c r="T45" s="617"/>
      <c r="U45" s="617"/>
      <c r="V45" s="617"/>
      <c r="W45" s="617"/>
      <c r="X45" s="617"/>
      <c r="Y45" s="617"/>
      <c r="Z45" s="153"/>
      <c r="AA45" s="51"/>
      <c r="AB45" s="155"/>
      <c r="AC45" s="556" t="s">
        <v>67</v>
      </c>
      <c r="AD45" s="556"/>
      <c r="AE45" s="556"/>
      <c r="AF45" s="556"/>
      <c r="AG45" s="556"/>
      <c r="AH45" s="556"/>
      <c r="AI45" s="556"/>
      <c r="AJ45" s="556"/>
      <c r="AK45" s="556"/>
      <c r="AL45" s="556"/>
      <c r="AM45" s="556"/>
      <c r="AN45" s="48">
        <v>45</v>
      </c>
      <c r="AO45" s="148"/>
      <c r="AP45" s="148"/>
      <c r="AQ45" s="121"/>
    </row>
    <row r="46" spans="2:43" ht="2.25" customHeight="1">
      <c r="B46" s="88"/>
      <c r="C46" s="152"/>
      <c r="D46" s="152"/>
      <c r="E46" s="152"/>
      <c r="F46" s="42"/>
      <c r="G46" s="42"/>
      <c r="H46" s="42"/>
      <c r="I46" s="42"/>
      <c r="J46" s="42"/>
      <c r="K46" s="148"/>
      <c r="L46" s="148"/>
      <c r="M46" s="473"/>
      <c r="N46" s="473"/>
      <c r="O46" s="473"/>
      <c r="P46" s="448"/>
      <c r="Q46" s="448"/>
      <c r="R46" s="448"/>
      <c r="S46" s="448"/>
      <c r="T46" s="448"/>
      <c r="U46" s="43"/>
      <c r="V46" s="154"/>
      <c r="W46" s="154"/>
      <c r="X46" s="154"/>
      <c r="Y46" s="154"/>
      <c r="Z46" s="154"/>
      <c r="AA46" s="154"/>
      <c r="AB46" s="155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54"/>
      <c r="AN46" s="154"/>
      <c r="AO46" s="148"/>
      <c r="AP46" s="148"/>
      <c r="AQ46" s="121"/>
    </row>
    <row r="47" spans="2:43" ht="21.75" customHeight="1">
      <c r="B47" s="88"/>
      <c r="C47" s="496"/>
      <c r="D47" s="496"/>
      <c r="E47" s="496"/>
      <c r="F47" s="496"/>
      <c r="G47" s="496"/>
      <c r="H47" s="496"/>
      <c r="I47" s="42"/>
      <c r="J47" s="42"/>
      <c r="K47" s="148"/>
      <c r="L47" s="10"/>
      <c r="M47" s="17"/>
      <c r="N47" s="556" t="s">
        <v>69</v>
      </c>
      <c r="O47" s="556"/>
      <c r="P47" s="556"/>
      <c r="Q47" s="556"/>
      <c r="R47" s="594">
        <v>0</v>
      </c>
      <c r="S47" s="484"/>
      <c r="T47" s="556" t="s">
        <v>28</v>
      </c>
      <c r="U47" s="556"/>
      <c r="V47" s="482" t="s">
        <v>11</v>
      </c>
      <c r="W47" s="484"/>
      <c r="X47" s="17"/>
      <c r="Y47" s="154"/>
      <c r="Z47" s="154"/>
      <c r="AA47" s="154"/>
      <c r="AB47" s="155"/>
      <c r="AC47" s="556" t="s">
        <v>101</v>
      </c>
      <c r="AD47" s="556"/>
      <c r="AE47" s="556"/>
      <c r="AF47" s="556"/>
      <c r="AG47" s="556"/>
      <c r="AH47" s="556"/>
      <c r="AI47" s="556"/>
      <c r="AJ47" s="556"/>
      <c r="AK47" s="556"/>
      <c r="AL47" s="556"/>
      <c r="AM47" s="556"/>
      <c r="AN47" s="44"/>
      <c r="AO47" s="148"/>
      <c r="AP47" s="148"/>
      <c r="AQ47" s="121"/>
    </row>
    <row r="48" spans="2:43" ht="9.75" customHeight="1" thickBot="1">
      <c r="B48" s="88"/>
      <c r="C48" s="152"/>
      <c r="D48" s="152"/>
      <c r="E48" s="152"/>
      <c r="F48" s="152"/>
      <c r="G48" s="152"/>
      <c r="H48" s="152"/>
      <c r="I48" s="42"/>
      <c r="J48" s="42"/>
      <c r="K48" s="148"/>
      <c r="L48" s="10"/>
      <c r="M48" s="17"/>
      <c r="N48" s="143"/>
      <c r="O48" s="143"/>
      <c r="P48" s="143"/>
      <c r="Q48" s="143"/>
      <c r="R48" s="126"/>
      <c r="S48" s="143"/>
      <c r="T48" s="143"/>
      <c r="U48" s="143"/>
      <c r="V48" s="143"/>
      <c r="W48" s="143"/>
      <c r="X48" s="17"/>
      <c r="Y48" s="154"/>
      <c r="Z48" s="154"/>
      <c r="AA48" s="154"/>
      <c r="AB48" s="155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54"/>
      <c r="AO48" s="148"/>
      <c r="AP48" s="148"/>
      <c r="AQ48" s="121"/>
    </row>
    <row r="49" spans="2:52" ht="27" customHeight="1" thickBot="1">
      <c r="B49" s="88"/>
      <c r="C49" s="152"/>
      <c r="D49" s="152"/>
      <c r="E49" s="152"/>
      <c r="F49" s="42"/>
      <c r="G49" s="42"/>
      <c r="H49" s="42"/>
      <c r="I49" s="42"/>
      <c r="J49" s="42"/>
      <c r="K49" s="606" t="s">
        <v>123</v>
      </c>
      <c r="L49" s="607"/>
      <c r="M49" s="130" t="s">
        <v>15</v>
      </c>
      <c r="N49" s="607" t="s">
        <v>120</v>
      </c>
      <c r="O49" s="607"/>
      <c r="P49" s="158" t="s">
        <v>121</v>
      </c>
      <c r="Q49" s="158"/>
      <c r="R49" s="131" t="s">
        <v>122</v>
      </c>
      <c r="S49" s="137" t="s">
        <v>124</v>
      </c>
      <c r="U49" s="154"/>
      <c r="V49" s="154"/>
      <c r="W49" s="154"/>
      <c r="X49" s="154"/>
      <c r="Y49" s="154"/>
      <c r="Z49" s="608" t="s">
        <v>123</v>
      </c>
      <c r="AA49" s="609"/>
      <c r="AB49" s="159" t="s">
        <v>15</v>
      </c>
      <c r="AC49" s="609" t="s">
        <v>120</v>
      </c>
      <c r="AD49" s="609"/>
      <c r="AE49" s="141" t="s">
        <v>121</v>
      </c>
      <c r="AF49" s="138" t="s">
        <v>15</v>
      </c>
      <c r="AG49" s="610" t="s">
        <v>122</v>
      </c>
      <c r="AH49" s="611"/>
      <c r="AI49" s="135" t="s">
        <v>124</v>
      </c>
      <c r="AJ49" s="148"/>
      <c r="AK49" s="148"/>
      <c r="AL49" s="175"/>
      <c r="AQ49" s="36"/>
    </row>
    <row r="50" spans="2:52" ht="28.5" customHeight="1">
      <c r="B50" s="88"/>
      <c r="C50" s="570" t="s">
        <v>70</v>
      </c>
      <c r="D50" s="570"/>
      <c r="E50" s="570"/>
      <c r="F50" s="570"/>
      <c r="G50" s="583"/>
      <c r="H50" s="584" t="s">
        <v>71</v>
      </c>
      <c r="I50" s="584"/>
      <c r="J50" s="584"/>
      <c r="K50" s="585"/>
      <c r="L50" s="586"/>
      <c r="M50" s="133"/>
      <c r="N50" s="586"/>
      <c r="O50" s="586"/>
      <c r="P50" s="146"/>
      <c r="Q50" s="133"/>
      <c r="R50" s="136"/>
      <c r="S50" s="185"/>
      <c r="U50" s="125"/>
      <c r="V50" s="587" t="s">
        <v>74</v>
      </c>
      <c r="W50" s="587"/>
      <c r="X50" s="587"/>
      <c r="Y50" s="587"/>
      <c r="Z50" s="588"/>
      <c r="AA50" s="589"/>
      <c r="AB50" s="139"/>
      <c r="AC50" s="589"/>
      <c r="AD50" s="589"/>
      <c r="AE50" s="151"/>
      <c r="AF50" s="139"/>
      <c r="AG50" s="589"/>
      <c r="AH50" s="590"/>
      <c r="AI50" s="182"/>
      <c r="AJ50" s="148"/>
      <c r="AK50" s="148"/>
      <c r="AL50" s="591" t="s">
        <v>126</v>
      </c>
      <c r="AM50" s="591"/>
      <c r="AN50" s="591"/>
      <c r="AO50" s="591"/>
      <c r="AQ50" s="36"/>
    </row>
    <row r="51" spans="2:52" ht="28.5" customHeight="1">
      <c r="B51" s="88"/>
      <c r="C51" s="570"/>
      <c r="D51" s="570"/>
      <c r="E51" s="570"/>
      <c r="F51" s="570"/>
      <c r="G51" s="583"/>
      <c r="H51" s="587" t="s">
        <v>72</v>
      </c>
      <c r="I51" s="587"/>
      <c r="J51" s="587"/>
      <c r="K51" s="592"/>
      <c r="L51" s="593"/>
      <c r="M51" s="132"/>
      <c r="N51" s="593"/>
      <c r="O51" s="593"/>
      <c r="P51" s="150"/>
      <c r="Q51" s="132"/>
      <c r="R51" s="127"/>
      <c r="S51" s="186"/>
      <c r="U51" s="125"/>
      <c r="V51" s="587" t="s">
        <v>75</v>
      </c>
      <c r="W51" s="587"/>
      <c r="X51" s="587"/>
      <c r="Y51" s="587"/>
      <c r="Z51" s="592"/>
      <c r="AA51" s="593"/>
      <c r="AB51" s="132"/>
      <c r="AC51" s="593"/>
      <c r="AD51" s="593"/>
      <c r="AE51" s="150"/>
      <c r="AF51" s="132"/>
      <c r="AG51" s="593"/>
      <c r="AH51" s="599"/>
      <c r="AI51" s="183"/>
      <c r="AJ51" s="148"/>
      <c r="AK51" s="148"/>
      <c r="AL51" s="175"/>
      <c r="AM51" s="600"/>
      <c r="AN51" s="601"/>
      <c r="AQ51" s="36"/>
      <c r="AU51" s="128"/>
    </row>
    <row r="52" spans="2:52" ht="28.5" customHeight="1" thickBot="1">
      <c r="B52" s="88"/>
      <c r="C52" s="570"/>
      <c r="D52" s="570"/>
      <c r="E52" s="570"/>
      <c r="F52" s="570"/>
      <c r="G52" s="583"/>
      <c r="H52" s="587" t="s">
        <v>73</v>
      </c>
      <c r="I52" s="587"/>
      <c r="J52" s="587"/>
      <c r="K52" s="602"/>
      <c r="L52" s="603"/>
      <c r="M52" s="134"/>
      <c r="N52" s="603"/>
      <c r="O52" s="603"/>
      <c r="P52" s="149"/>
      <c r="Q52" s="134"/>
      <c r="R52" s="129"/>
      <c r="S52" s="187"/>
      <c r="U52" s="125"/>
      <c r="V52" s="587" t="s">
        <v>76</v>
      </c>
      <c r="W52" s="587"/>
      <c r="X52" s="587"/>
      <c r="Y52" s="587"/>
      <c r="Z52" s="602"/>
      <c r="AA52" s="603"/>
      <c r="AB52" s="134"/>
      <c r="AC52" s="603"/>
      <c r="AD52" s="603"/>
      <c r="AE52" s="149"/>
      <c r="AF52" s="134"/>
      <c r="AG52" s="603"/>
      <c r="AH52" s="604"/>
      <c r="AI52" s="184"/>
      <c r="AJ52" s="605"/>
      <c r="AK52" s="605"/>
      <c r="AL52" s="175"/>
      <c r="AQ52" s="36"/>
      <c r="AU52" s="128"/>
    </row>
    <row r="53" spans="2:52" ht="7.5" customHeight="1">
      <c r="B53" s="88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21"/>
      <c r="AV53" s="128"/>
    </row>
    <row r="54" spans="2:52" ht="19.5" customHeight="1">
      <c r="B54" s="88"/>
      <c r="C54" s="556" t="s">
        <v>99</v>
      </c>
      <c r="D54" s="556"/>
      <c r="E54" s="556"/>
      <c r="F54" s="556"/>
      <c r="G54" s="556"/>
      <c r="H54" s="556"/>
      <c r="I54" s="556"/>
      <c r="J54" s="556"/>
      <c r="K54" s="563"/>
      <c r="L54" s="594">
        <v>0</v>
      </c>
      <c r="M54" s="484"/>
      <c r="N54" s="2"/>
      <c r="O54" s="532" t="s">
        <v>113</v>
      </c>
      <c r="P54" s="533"/>
      <c r="Q54" s="533"/>
      <c r="R54" s="595" t="s">
        <v>100</v>
      </c>
      <c r="S54" s="595"/>
      <c r="T54" s="595"/>
      <c r="U54" s="595"/>
      <c r="V54" s="595"/>
      <c r="W54" s="595"/>
      <c r="X54" s="595"/>
      <c r="Y54" s="595"/>
      <c r="Z54" s="595"/>
      <c r="AA54" s="595"/>
      <c r="AB54" s="595"/>
      <c r="AC54" s="595"/>
      <c r="AD54" s="595"/>
      <c r="AE54" s="595"/>
      <c r="AF54" s="595"/>
      <c r="AG54" s="595"/>
      <c r="AH54" s="595"/>
      <c r="AI54" s="595"/>
      <c r="AJ54" s="595"/>
      <c r="AK54" s="595"/>
      <c r="AL54" s="595"/>
      <c r="AM54" s="595"/>
      <c r="AN54" s="596"/>
      <c r="AO54" s="175"/>
      <c r="AP54" s="10"/>
      <c r="AQ54" s="121"/>
      <c r="AZ54" s="128"/>
    </row>
    <row r="55" spans="2:52" ht="19.5" customHeight="1">
      <c r="B55" s="88"/>
      <c r="C55" s="4"/>
      <c r="D55" s="2"/>
      <c r="E55" s="2"/>
      <c r="F55" s="2"/>
      <c r="G55" s="2"/>
      <c r="H55" s="3"/>
      <c r="I55" s="2"/>
      <c r="J55" s="2"/>
      <c r="K55" s="2"/>
      <c r="L55" s="4"/>
      <c r="M55" s="2"/>
      <c r="N55" s="2"/>
      <c r="O55" s="534"/>
      <c r="P55" s="535"/>
      <c r="Q55" s="535"/>
      <c r="R55" s="597" t="s">
        <v>102</v>
      </c>
      <c r="S55" s="597"/>
      <c r="T55" s="597"/>
      <c r="U55" s="597"/>
      <c r="V55" s="597"/>
      <c r="W55" s="597"/>
      <c r="X55" s="597"/>
      <c r="Y55" s="597"/>
      <c r="Z55" s="597"/>
      <c r="AA55" s="597"/>
      <c r="AB55" s="597"/>
      <c r="AC55" s="597"/>
      <c r="AD55" s="597"/>
      <c r="AE55" s="597"/>
      <c r="AF55" s="597"/>
      <c r="AG55" s="597"/>
      <c r="AH55" s="597"/>
      <c r="AI55" s="597"/>
      <c r="AJ55" s="597"/>
      <c r="AK55" s="597"/>
      <c r="AL55" s="597"/>
      <c r="AM55" s="597"/>
      <c r="AN55" s="598"/>
      <c r="AO55" s="175"/>
      <c r="AP55" s="10"/>
      <c r="AQ55" s="121"/>
      <c r="AV55" s="128"/>
      <c r="AW55" s="128"/>
      <c r="AX55" s="128"/>
      <c r="AZ55" s="128"/>
    </row>
    <row r="56" spans="2:52" ht="9" customHeight="1">
      <c r="B56" s="56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64"/>
    </row>
    <row r="57" spans="2:52" ht="22.5" customHeight="1">
      <c r="C57" s="582" t="s">
        <v>3</v>
      </c>
      <c r="D57" s="582"/>
      <c r="E57" s="582"/>
      <c r="F57" s="582"/>
      <c r="G57" s="582"/>
      <c r="H57" s="582"/>
      <c r="I57" s="582"/>
      <c r="J57" s="582"/>
      <c r="K57" s="582"/>
      <c r="L57" s="582"/>
      <c r="M57" s="582"/>
      <c r="N57" s="582"/>
      <c r="O57" s="582"/>
      <c r="P57" s="582"/>
      <c r="Q57" s="582"/>
      <c r="R57" s="582"/>
      <c r="S57" s="582"/>
      <c r="T57" s="582"/>
      <c r="U57" s="582"/>
      <c r="V57" s="582"/>
      <c r="W57" s="582"/>
      <c r="X57" s="582"/>
      <c r="Y57" s="582"/>
      <c r="Z57" s="582"/>
      <c r="AA57" s="582"/>
      <c r="AB57" s="582"/>
      <c r="AC57" s="582"/>
      <c r="AD57" s="582"/>
      <c r="AE57" s="582"/>
      <c r="AF57" s="582"/>
      <c r="AG57" s="582"/>
      <c r="AH57" s="582"/>
      <c r="AI57" s="582"/>
      <c r="AJ57" s="582"/>
      <c r="AK57" s="582"/>
      <c r="AL57" s="582"/>
      <c r="AM57" s="582"/>
      <c r="AN57" s="582"/>
      <c r="AO57" s="582"/>
      <c r="AP57" s="582"/>
      <c r="AQ57" s="160"/>
    </row>
    <row r="58" spans="2:52" ht="7.5" customHeight="1">
      <c r="B58" s="106"/>
      <c r="C58" s="167"/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67"/>
      <c r="AA58" s="167"/>
      <c r="AB58" s="167"/>
      <c r="AC58" s="167"/>
      <c r="AD58" s="167"/>
      <c r="AE58" s="167"/>
      <c r="AF58" s="167"/>
      <c r="AG58" s="167"/>
      <c r="AH58" s="167"/>
      <c r="AI58" s="167"/>
      <c r="AJ58" s="167"/>
      <c r="AK58" s="167"/>
      <c r="AL58" s="167"/>
      <c r="AM58" s="167"/>
      <c r="AN58" s="167"/>
      <c r="AO58" s="167"/>
      <c r="AP58" s="167"/>
      <c r="AQ58" s="168"/>
    </row>
    <row r="59" spans="2:52" ht="19.5" customHeight="1">
      <c r="B59" s="88"/>
      <c r="C59" s="6"/>
      <c r="D59" s="23"/>
      <c r="E59" s="584" t="s">
        <v>16</v>
      </c>
      <c r="F59" s="584"/>
      <c r="G59" s="584"/>
      <c r="H59" s="584"/>
      <c r="I59" s="584"/>
      <c r="J59" s="584"/>
      <c r="K59" s="584"/>
      <c r="L59" s="584"/>
      <c r="M59" s="584"/>
      <c r="N59" s="23"/>
      <c r="O59" s="6"/>
      <c r="P59" s="584" t="s">
        <v>106</v>
      </c>
      <c r="Q59" s="584"/>
      <c r="R59" s="584"/>
      <c r="S59" s="584"/>
      <c r="T59" s="584"/>
      <c r="U59" s="584"/>
      <c r="V59" s="584"/>
      <c r="W59" s="584"/>
      <c r="X59" s="584"/>
      <c r="Y59" s="584"/>
      <c r="Z59" s="584"/>
      <c r="AA59" s="584"/>
      <c r="AB59" s="6"/>
      <c r="AC59" s="6"/>
      <c r="AD59" s="6"/>
      <c r="AE59" s="584" t="s">
        <v>81</v>
      </c>
      <c r="AF59" s="584"/>
      <c r="AG59" s="584"/>
      <c r="AH59" s="584"/>
      <c r="AI59" s="584"/>
      <c r="AJ59" s="584"/>
      <c r="AK59" s="584"/>
      <c r="AL59" s="584"/>
      <c r="AM59" s="584"/>
      <c r="AN59" s="584"/>
      <c r="AO59" s="584"/>
      <c r="AP59" s="6"/>
      <c r="AQ59" s="121"/>
    </row>
    <row r="60" spans="2:52" ht="6.9" customHeight="1">
      <c r="B60" s="88"/>
      <c r="C60" s="46"/>
      <c r="D60" s="7"/>
      <c r="E60" s="7"/>
      <c r="F60" s="7"/>
      <c r="G60" s="7"/>
      <c r="H60" s="7"/>
      <c r="I60" s="7"/>
      <c r="J60" s="7"/>
      <c r="K60" s="7"/>
      <c r="L60" s="7"/>
      <c r="M60" s="7"/>
      <c r="N60" s="125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121"/>
    </row>
    <row r="61" spans="2:52" ht="21.75" customHeight="1">
      <c r="B61" s="88"/>
      <c r="C61" s="6"/>
      <c r="D61" s="23"/>
      <c r="E61" s="578"/>
      <c r="F61" s="579"/>
      <c r="G61" s="579"/>
      <c r="H61" s="580"/>
      <c r="I61" s="7" t="s">
        <v>80</v>
      </c>
      <c r="J61" s="578"/>
      <c r="K61" s="579"/>
      <c r="L61" s="579"/>
      <c r="M61" s="580"/>
      <c r="N61" s="125"/>
      <c r="O61" s="6"/>
      <c r="P61" s="23"/>
      <c r="Q61" s="578"/>
      <c r="R61" s="579"/>
      <c r="S61" s="579"/>
      <c r="T61" s="580"/>
      <c r="U61" s="7" t="s">
        <v>80</v>
      </c>
      <c r="V61" s="578"/>
      <c r="W61" s="579"/>
      <c r="X61" s="579"/>
      <c r="Y61" s="580"/>
      <c r="Z61" s="125"/>
      <c r="AA61" s="23"/>
      <c r="AB61" s="6"/>
      <c r="AC61" s="6"/>
      <c r="AD61" s="6"/>
      <c r="AE61" s="578"/>
      <c r="AF61" s="580"/>
      <c r="AG61" s="581" t="s">
        <v>82</v>
      </c>
      <c r="AH61" s="556"/>
      <c r="AI61" s="47"/>
      <c r="AJ61" s="47"/>
      <c r="AK61" s="578"/>
      <c r="AL61" s="580"/>
      <c r="AM61" s="581" t="s">
        <v>83</v>
      </c>
      <c r="AN61" s="556"/>
      <c r="AO61" s="47"/>
      <c r="AP61" s="6"/>
      <c r="AQ61" s="121"/>
    </row>
    <row r="62" spans="2:52" ht="11.25" customHeight="1">
      <c r="B62" s="56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64"/>
    </row>
    <row r="63" spans="2:52" ht="6.75" customHeight="1">
      <c r="B63" s="175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175"/>
    </row>
    <row r="64" spans="2:52" ht="26.25" customHeight="1">
      <c r="C64" s="582" t="s">
        <v>23</v>
      </c>
      <c r="D64" s="582"/>
      <c r="E64" s="582"/>
      <c r="F64" s="582"/>
      <c r="G64" s="582"/>
      <c r="H64" s="582"/>
      <c r="I64" s="582"/>
      <c r="J64" s="582"/>
      <c r="K64" s="582"/>
      <c r="L64" s="582"/>
      <c r="M64" s="582"/>
      <c r="N64" s="582"/>
      <c r="O64" s="582"/>
      <c r="P64" s="582"/>
      <c r="Q64" s="582"/>
      <c r="R64" s="582"/>
      <c r="S64" s="582"/>
      <c r="T64" s="582"/>
      <c r="U64" s="582"/>
      <c r="V64" s="582"/>
      <c r="W64" s="582"/>
      <c r="X64" s="582"/>
      <c r="Y64" s="582"/>
      <c r="Z64" s="582"/>
      <c r="AA64" s="582"/>
      <c r="AB64" s="582"/>
      <c r="AC64" s="582"/>
      <c r="AD64" s="582"/>
      <c r="AE64" s="582"/>
      <c r="AF64" s="582"/>
      <c r="AG64" s="582"/>
      <c r="AH64" s="582"/>
      <c r="AI64" s="582"/>
      <c r="AJ64" s="582"/>
      <c r="AK64" s="582"/>
      <c r="AL64" s="582"/>
      <c r="AM64" s="582"/>
      <c r="AN64" s="582"/>
      <c r="AO64" s="582"/>
      <c r="AP64" s="582"/>
      <c r="AQ64" s="160"/>
    </row>
    <row r="65" spans="2:53" ht="6.9" customHeight="1">
      <c r="B65" s="106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  <c r="S65" s="169"/>
      <c r="T65" s="169"/>
      <c r="U65" s="169"/>
      <c r="V65" s="169"/>
      <c r="W65" s="169"/>
      <c r="X65" s="169"/>
      <c r="Y65" s="169"/>
      <c r="Z65" s="169"/>
      <c r="AA65" s="169"/>
      <c r="AB65" s="169"/>
      <c r="AC65" s="169"/>
      <c r="AD65" s="169"/>
      <c r="AE65" s="169"/>
      <c r="AF65" s="169"/>
      <c r="AG65" s="169"/>
      <c r="AH65" s="169"/>
      <c r="AI65" s="169"/>
      <c r="AJ65" s="169"/>
      <c r="AK65" s="169"/>
      <c r="AL65" s="169"/>
      <c r="AM65" s="169"/>
      <c r="AN65" s="169"/>
      <c r="AO65" s="169"/>
      <c r="AP65" s="170"/>
      <c r="AQ65" s="171"/>
    </row>
    <row r="66" spans="2:53" ht="19.5" customHeight="1">
      <c r="B66" s="88"/>
      <c r="C66" s="575" t="s">
        <v>84</v>
      </c>
      <c r="D66" s="575"/>
      <c r="E66" s="575"/>
      <c r="F66" s="575"/>
      <c r="G66" s="575"/>
      <c r="H66" s="575"/>
      <c r="I66" s="575"/>
      <c r="J66" s="575"/>
      <c r="K66" s="575"/>
      <c r="L66" s="140"/>
      <c r="M66" s="140"/>
      <c r="N66" s="100"/>
      <c r="P66" s="180" t="s">
        <v>127</v>
      </c>
      <c r="Q66" s="180"/>
      <c r="R66" s="180"/>
      <c r="S66" s="180"/>
      <c r="T66" s="180"/>
      <c r="U66" s="180"/>
      <c r="V66" s="180"/>
      <c r="W66" s="180"/>
      <c r="X66" s="180"/>
      <c r="Y66" s="100"/>
      <c r="Z66" s="100"/>
      <c r="AA66" s="100"/>
      <c r="AB66" s="100"/>
      <c r="AC66" s="575" t="s">
        <v>88</v>
      </c>
      <c r="AD66" s="575"/>
      <c r="AE66" s="575"/>
      <c r="AF66" s="575"/>
      <c r="AG66" s="575"/>
      <c r="AH66" s="575"/>
      <c r="AI66" s="575"/>
      <c r="AJ66" s="575"/>
      <c r="AK66" s="575"/>
      <c r="AL66" s="575"/>
      <c r="AM66" s="575"/>
      <c r="AN66" s="575"/>
      <c r="AO66" s="575"/>
      <c r="AP66" s="575"/>
      <c r="AQ66" s="121"/>
      <c r="AW66" s="576" t="s">
        <v>115</v>
      </c>
      <c r="AX66" s="576"/>
      <c r="AY66" s="576"/>
      <c r="AZ66" s="576"/>
      <c r="BA66" s="576"/>
    </row>
    <row r="67" spans="2:53" ht="6.9" customHeight="1">
      <c r="B67" s="88"/>
      <c r="C67" s="143"/>
      <c r="D67" s="143"/>
      <c r="E67" s="143"/>
      <c r="F67" s="143"/>
      <c r="G67" s="143"/>
      <c r="H67" s="143"/>
      <c r="I67" s="143"/>
      <c r="J67" s="143"/>
      <c r="K67" s="143"/>
      <c r="L67" s="140"/>
      <c r="M67" s="140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0"/>
      <c r="Z67" s="140"/>
      <c r="AA67" s="140"/>
      <c r="AB67" s="140"/>
      <c r="AC67" s="140"/>
      <c r="AD67" s="140"/>
      <c r="AE67" s="140"/>
      <c r="AF67" s="140"/>
      <c r="AG67" s="140"/>
      <c r="AH67" s="140"/>
      <c r="AI67" s="140"/>
      <c r="AJ67" s="140"/>
      <c r="AK67" s="140"/>
      <c r="AL67" s="140"/>
      <c r="AM67" s="140"/>
      <c r="AN67" s="140"/>
      <c r="AO67" s="140"/>
      <c r="AP67" s="140"/>
      <c r="AQ67" s="121"/>
    </row>
    <row r="68" spans="2:53" ht="24.75" customHeight="1">
      <c r="B68" s="88"/>
      <c r="C68" s="157"/>
      <c r="D68" s="101"/>
      <c r="E68" s="554" t="s">
        <v>85</v>
      </c>
      <c r="F68" s="555"/>
      <c r="G68" s="555"/>
      <c r="H68" s="555"/>
      <c r="I68" s="555"/>
      <c r="J68" s="555"/>
      <c r="K68" s="555"/>
      <c r="L68" s="140"/>
      <c r="M68" s="140"/>
      <c r="N68" s="89"/>
      <c r="O68" s="89"/>
      <c r="P68" s="482"/>
      <c r="Q68" s="484"/>
      <c r="R68" s="554" t="s">
        <v>18</v>
      </c>
      <c r="S68" s="577"/>
      <c r="T68" s="101"/>
      <c r="U68" s="143" t="s">
        <v>19</v>
      </c>
      <c r="V68" s="555"/>
      <c r="W68" s="555"/>
      <c r="X68" s="140"/>
      <c r="Y68" s="89"/>
      <c r="Z68" s="89"/>
      <c r="AA68" s="89"/>
      <c r="AB68" s="89"/>
      <c r="AC68" s="89"/>
      <c r="AD68" s="89"/>
      <c r="AE68" s="556" t="s">
        <v>89</v>
      </c>
      <c r="AF68" s="556"/>
      <c r="AG68" s="556"/>
      <c r="AH68" s="556"/>
      <c r="AI68" s="556"/>
      <c r="AJ68" s="560" t="str">
        <f>IF(T70="","",IF(P68="",T70,T70+W72))</f>
        <v/>
      </c>
      <c r="AK68" s="561"/>
      <c r="AL68" s="561"/>
      <c r="AM68" s="562"/>
      <c r="AN68" s="123"/>
      <c r="AO68" s="123"/>
      <c r="AP68" s="123"/>
      <c r="AQ68" s="172"/>
    </row>
    <row r="69" spans="2:53" ht="6.9" customHeight="1">
      <c r="B69" s="88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  <c r="AG69" s="140"/>
      <c r="AH69" s="140"/>
      <c r="AI69" s="140"/>
      <c r="AJ69" s="181"/>
      <c r="AK69" s="181"/>
      <c r="AL69" s="181"/>
      <c r="AM69" s="181"/>
      <c r="AN69" s="140"/>
      <c r="AO69" s="140"/>
      <c r="AP69" s="140"/>
      <c r="AQ69" s="121"/>
    </row>
    <row r="70" spans="2:53" ht="24.75" customHeight="1">
      <c r="B70" s="88"/>
      <c r="C70" s="157"/>
      <c r="D70" s="101"/>
      <c r="E70" s="554" t="s">
        <v>86</v>
      </c>
      <c r="F70" s="555"/>
      <c r="G70" s="555"/>
      <c r="H70" s="555"/>
      <c r="I70" s="555"/>
      <c r="J70" s="555"/>
      <c r="K70" s="555"/>
      <c r="L70" s="140"/>
      <c r="M70" s="140"/>
      <c r="N70" s="89"/>
      <c r="O70" s="89"/>
      <c r="P70" s="556" t="s">
        <v>96</v>
      </c>
      <c r="Q70" s="556"/>
      <c r="R70" s="556"/>
      <c r="S70" s="556"/>
      <c r="T70" s="557"/>
      <c r="U70" s="558"/>
      <c r="V70" s="558"/>
      <c r="W70" s="559"/>
      <c r="X70" s="140"/>
      <c r="Y70" s="89"/>
      <c r="Z70" s="89"/>
      <c r="AA70" s="89"/>
      <c r="AB70" s="124" t="s">
        <v>116</v>
      </c>
      <c r="AD70" s="140"/>
      <c r="AE70" s="89"/>
      <c r="AF70" s="89"/>
      <c r="AG70" s="89"/>
      <c r="AH70" s="89"/>
      <c r="AI70" s="122"/>
      <c r="AJ70" s="560" t="str">
        <f>IF(P68="","",IF(W76="",AJ68,AJ68-7))</f>
        <v/>
      </c>
      <c r="AK70" s="561"/>
      <c r="AL70" s="561"/>
      <c r="AM70" s="562"/>
      <c r="AO70" s="140"/>
      <c r="AP70" s="140"/>
      <c r="AQ70" s="121"/>
    </row>
    <row r="71" spans="2:53" ht="6.9" customHeight="1">
      <c r="B71" s="88"/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  <c r="AG71" s="140"/>
      <c r="AH71" s="140"/>
      <c r="AI71" s="140"/>
      <c r="AJ71" s="140"/>
      <c r="AK71" s="140"/>
      <c r="AL71" s="140"/>
      <c r="AM71" s="140"/>
      <c r="AN71" s="140"/>
      <c r="AO71" s="140"/>
      <c r="AP71" s="140"/>
      <c r="AQ71" s="121"/>
    </row>
    <row r="72" spans="2:53" ht="24.75" customHeight="1">
      <c r="B72" s="88"/>
      <c r="C72" s="157"/>
      <c r="D72" s="101"/>
      <c r="E72" s="554" t="s">
        <v>87</v>
      </c>
      <c r="F72" s="555"/>
      <c r="G72" s="555"/>
      <c r="H72" s="555"/>
      <c r="I72" s="555"/>
      <c r="J72" s="555"/>
      <c r="K72" s="555"/>
      <c r="L72" s="140"/>
      <c r="M72" s="140"/>
      <c r="N72" s="102"/>
      <c r="O72" s="102"/>
      <c r="P72" s="547" t="s">
        <v>92</v>
      </c>
      <c r="Q72" s="547"/>
      <c r="R72" s="547"/>
      <c r="S72" s="547"/>
      <c r="T72" s="547"/>
      <c r="U72" s="547"/>
      <c r="V72" s="102"/>
      <c r="W72" s="120">
        <v>30</v>
      </c>
      <c r="X72" s="89"/>
      <c r="Y72" s="140"/>
      <c r="Z72" s="140"/>
      <c r="AA72" s="140"/>
      <c r="AB72" s="140"/>
      <c r="AC72" s="140"/>
      <c r="AD72" s="140"/>
      <c r="AE72" s="556" t="s">
        <v>90</v>
      </c>
      <c r="AF72" s="556"/>
      <c r="AG72" s="563"/>
      <c r="AH72" s="557" t="s">
        <v>91</v>
      </c>
      <c r="AI72" s="558"/>
      <c r="AJ72" s="558"/>
      <c r="AK72" s="558"/>
      <c r="AL72" s="558"/>
      <c r="AM72" s="558"/>
      <c r="AN72" s="559"/>
      <c r="AO72" s="140"/>
      <c r="AP72" s="140"/>
      <c r="AQ72" s="121"/>
    </row>
    <row r="73" spans="2:53" ht="6.9" customHeight="1">
      <c r="B73" s="88"/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02"/>
      <c r="O73" s="102"/>
      <c r="P73" s="103"/>
      <c r="Q73" s="103"/>
      <c r="R73" s="103"/>
      <c r="S73" s="103"/>
      <c r="T73" s="103"/>
      <c r="U73" s="103"/>
      <c r="V73" s="102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  <c r="AK73" s="140"/>
      <c r="AL73" s="140"/>
      <c r="AM73" s="140"/>
      <c r="AN73" s="140"/>
      <c r="AO73" s="140"/>
      <c r="AP73" s="140"/>
      <c r="AQ73" s="121"/>
    </row>
    <row r="74" spans="2:53" ht="27" customHeight="1">
      <c r="B74" s="88"/>
      <c r="C74" s="157"/>
      <c r="D74" s="101"/>
      <c r="E74" s="554" t="s">
        <v>107</v>
      </c>
      <c r="F74" s="555"/>
      <c r="G74" s="555"/>
      <c r="H74" s="555"/>
      <c r="I74" s="555"/>
      <c r="J74" s="555"/>
      <c r="K74" s="555"/>
      <c r="L74" s="140"/>
      <c r="M74" s="140"/>
      <c r="N74" s="102"/>
      <c r="O74" s="102"/>
      <c r="P74" s="547" t="s">
        <v>93</v>
      </c>
      <c r="Q74" s="547"/>
      <c r="R74" s="547"/>
      <c r="S74" s="547"/>
      <c r="T74" s="547"/>
      <c r="U74" s="547"/>
      <c r="V74" s="102"/>
      <c r="W74" s="101"/>
      <c r="X74" s="564" t="s">
        <v>117</v>
      </c>
      <c r="Y74" s="548"/>
      <c r="Z74" s="548"/>
      <c r="AA74" s="548"/>
      <c r="AB74" s="565"/>
      <c r="AC74" s="566" t="s">
        <v>105</v>
      </c>
      <c r="AD74" s="567"/>
      <c r="AE74" s="567"/>
      <c r="AF74" s="567"/>
      <c r="AG74" s="567"/>
      <c r="AH74" s="567"/>
      <c r="AI74" s="567"/>
      <c r="AJ74" s="567"/>
      <c r="AK74" s="567"/>
      <c r="AL74" s="567"/>
      <c r="AM74" s="567"/>
      <c r="AN74" s="567"/>
      <c r="AO74" s="567"/>
      <c r="AP74" s="568"/>
      <c r="AQ74" s="121"/>
    </row>
    <row r="75" spans="2:53" ht="6.9" customHeight="1">
      <c r="B75" s="88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02"/>
      <c r="O75" s="102"/>
      <c r="P75" s="103"/>
      <c r="Q75" s="103"/>
      <c r="R75" s="103"/>
      <c r="S75" s="103"/>
      <c r="T75" s="103"/>
      <c r="U75" s="103"/>
      <c r="V75" s="102"/>
      <c r="W75" s="140"/>
      <c r="X75" s="140"/>
      <c r="Y75" s="104"/>
      <c r="Z75" s="104"/>
      <c r="AA75" s="104"/>
      <c r="AB75" s="104"/>
      <c r="AC75" s="569"/>
      <c r="AD75" s="570"/>
      <c r="AE75" s="570"/>
      <c r="AF75" s="570"/>
      <c r="AG75" s="570"/>
      <c r="AH75" s="570"/>
      <c r="AI75" s="570"/>
      <c r="AJ75" s="570"/>
      <c r="AK75" s="570"/>
      <c r="AL75" s="570"/>
      <c r="AM75" s="570"/>
      <c r="AN75" s="570"/>
      <c r="AO75" s="570"/>
      <c r="AP75" s="571"/>
      <c r="AQ75" s="121"/>
    </row>
    <row r="76" spans="2:53" ht="27.75" customHeight="1">
      <c r="B76" s="88"/>
      <c r="C76" s="157"/>
      <c r="D76" s="101"/>
      <c r="E76" s="90" t="s">
        <v>118</v>
      </c>
      <c r="F76" s="89"/>
      <c r="G76" s="89"/>
      <c r="H76" s="89"/>
      <c r="I76" s="89"/>
      <c r="J76" s="89"/>
      <c r="K76" s="89"/>
      <c r="L76" s="140"/>
      <c r="M76" s="140"/>
      <c r="N76" s="102"/>
      <c r="O76" s="102"/>
      <c r="P76" s="547" t="s">
        <v>94</v>
      </c>
      <c r="Q76" s="547"/>
      <c r="R76" s="547"/>
      <c r="S76" s="547"/>
      <c r="T76" s="547"/>
      <c r="U76" s="547"/>
      <c r="V76" s="102"/>
      <c r="W76" s="101"/>
      <c r="X76" s="564" t="s">
        <v>117</v>
      </c>
      <c r="Y76" s="548"/>
      <c r="Z76" s="548"/>
      <c r="AA76" s="548"/>
      <c r="AB76" s="565"/>
      <c r="AC76" s="569"/>
      <c r="AD76" s="570"/>
      <c r="AE76" s="570"/>
      <c r="AF76" s="570"/>
      <c r="AG76" s="570"/>
      <c r="AH76" s="570"/>
      <c r="AI76" s="570"/>
      <c r="AJ76" s="570"/>
      <c r="AK76" s="570"/>
      <c r="AL76" s="570"/>
      <c r="AM76" s="570"/>
      <c r="AN76" s="570"/>
      <c r="AO76" s="570"/>
      <c r="AP76" s="571"/>
      <c r="AQ76" s="121"/>
    </row>
    <row r="77" spans="2:53" ht="6.9" customHeight="1">
      <c r="B77" s="88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02"/>
      <c r="O77" s="102"/>
      <c r="P77" s="103"/>
      <c r="Q77" s="103"/>
      <c r="R77" s="103"/>
      <c r="S77" s="103"/>
      <c r="T77" s="103"/>
      <c r="U77" s="103"/>
      <c r="V77" s="102"/>
      <c r="W77" s="140"/>
      <c r="X77" s="140"/>
      <c r="Y77" s="104"/>
      <c r="Z77" s="104"/>
      <c r="AA77" s="104"/>
      <c r="AB77" s="104"/>
      <c r="AC77" s="572"/>
      <c r="AD77" s="573"/>
      <c r="AE77" s="573"/>
      <c r="AF77" s="573"/>
      <c r="AG77" s="573"/>
      <c r="AH77" s="573"/>
      <c r="AI77" s="573"/>
      <c r="AJ77" s="573"/>
      <c r="AK77" s="573"/>
      <c r="AL77" s="573"/>
      <c r="AM77" s="573"/>
      <c r="AN77" s="573"/>
      <c r="AO77" s="573"/>
      <c r="AP77" s="574"/>
      <c r="AQ77" s="121"/>
    </row>
    <row r="78" spans="2:53" ht="24.75" customHeight="1">
      <c r="B78" s="88"/>
      <c r="C78" s="157"/>
      <c r="D78" s="101"/>
      <c r="E78" s="90" t="s">
        <v>119</v>
      </c>
      <c r="F78" s="89"/>
      <c r="G78" s="89"/>
      <c r="H78" s="89"/>
      <c r="I78" s="89"/>
      <c r="J78" s="89"/>
      <c r="K78" s="89"/>
      <c r="L78" s="140"/>
      <c r="M78" s="140"/>
      <c r="N78" s="102"/>
      <c r="O78" s="102"/>
      <c r="P78" s="547" t="s">
        <v>95</v>
      </c>
      <c r="Q78" s="547"/>
      <c r="R78" s="547"/>
      <c r="S78" s="547"/>
      <c r="T78" s="547"/>
      <c r="U78" s="547"/>
      <c r="V78" s="105"/>
      <c r="W78" s="101"/>
      <c r="X78" s="548"/>
      <c r="Y78" s="548"/>
      <c r="Z78" s="548"/>
      <c r="AA78" s="548"/>
      <c r="AB78" s="548"/>
      <c r="AC78" s="140"/>
      <c r="AD78" s="140"/>
      <c r="AE78" s="140"/>
      <c r="AF78" s="140"/>
      <c r="AG78" s="140"/>
      <c r="AH78" s="140"/>
      <c r="AI78" s="140"/>
      <c r="AJ78" s="140"/>
      <c r="AK78" s="140"/>
      <c r="AL78" s="140"/>
      <c r="AM78" s="140"/>
      <c r="AN78" s="140"/>
      <c r="AO78" s="140"/>
      <c r="AP78" s="140"/>
      <c r="AQ78" s="121"/>
    </row>
    <row r="79" spans="2:53" ht="9.75" customHeight="1">
      <c r="B79" s="88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42"/>
      <c r="O79" s="42"/>
      <c r="P79" s="42"/>
      <c r="Q79" s="42"/>
      <c r="R79" s="42"/>
      <c r="S79" s="42"/>
      <c r="T79" s="42"/>
      <c r="U79" s="42"/>
      <c r="V79" s="42"/>
      <c r="W79" s="155"/>
      <c r="X79" s="115"/>
      <c r="Y79" s="115"/>
      <c r="Z79" s="115"/>
      <c r="AA79" s="115"/>
      <c r="AB79" s="115"/>
      <c r="AC79" s="115"/>
      <c r="AD79" s="115"/>
      <c r="AE79" s="115"/>
      <c r="AF79" s="115"/>
      <c r="AG79" s="115"/>
      <c r="AH79" s="115"/>
      <c r="AI79" s="115"/>
      <c r="AJ79" s="115"/>
      <c r="AK79" s="115"/>
      <c r="AL79" s="115"/>
      <c r="AM79" s="115"/>
      <c r="AN79" s="115"/>
      <c r="AO79" s="115"/>
      <c r="AP79" s="115"/>
      <c r="AQ79" s="121"/>
    </row>
    <row r="80" spans="2:53" ht="15.75" customHeight="1">
      <c r="B80" s="173"/>
      <c r="C80" s="549"/>
      <c r="D80" s="549"/>
      <c r="E80" s="549"/>
      <c r="F80" s="549"/>
      <c r="G80" s="549"/>
      <c r="H80" s="549"/>
      <c r="I80" s="549"/>
      <c r="J80" s="549"/>
      <c r="K80" s="549"/>
      <c r="L80" s="549"/>
      <c r="M80" s="549"/>
      <c r="N80" s="549"/>
      <c r="O80" s="549"/>
      <c r="P80" s="549"/>
      <c r="Q80" s="549"/>
      <c r="R80" s="549"/>
      <c r="S80" s="549"/>
      <c r="T80" s="549"/>
      <c r="U80" s="549"/>
      <c r="V80" s="549"/>
      <c r="W80" s="549"/>
      <c r="X80" s="549"/>
      <c r="Y80" s="549"/>
      <c r="Z80" s="549"/>
      <c r="AA80" s="549"/>
      <c r="AB80" s="549"/>
      <c r="AC80" s="549"/>
      <c r="AD80" s="549"/>
      <c r="AE80" s="549"/>
      <c r="AF80" s="549"/>
      <c r="AG80" s="549"/>
      <c r="AH80" s="549"/>
      <c r="AI80" s="549"/>
      <c r="AJ80" s="549"/>
      <c r="AK80" s="549"/>
      <c r="AL80" s="549"/>
      <c r="AM80" s="549"/>
      <c r="AN80" s="549"/>
      <c r="AO80" s="549"/>
      <c r="AP80" s="549"/>
      <c r="AQ80" s="174"/>
      <c r="AU80" s="32"/>
      <c r="AV80" s="32"/>
      <c r="AX80" s="5"/>
    </row>
    <row r="81" spans="1:50" ht="10.5" customHeight="1">
      <c r="B81" s="34"/>
      <c r="C81" s="5"/>
      <c r="D81" s="5"/>
      <c r="E81" s="5"/>
      <c r="H81" s="5"/>
      <c r="I81" s="5"/>
      <c r="K81" s="5"/>
      <c r="M81" s="5"/>
      <c r="N81" s="5"/>
      <c r="O81" s="32"/>
      <c r="Q81" s="32"/>
      <c r="R81" s="32"/>
      <c r="T81" s="5"/>
      <c r="W81" s="5"/>
      <c r="X81" s="5"/>
      <c r="Y81" s="32"/>
      <c r="Z81" s="32"/>
      <c r="AB81" s="32"/>
      <c r="AC81" s="32"/>
      <c r="AD81" s="32"/>
      <c r="AE81" s="32"/>
      <c r="AH81" s="32"/>
      <c r="AM81" s="32"/>
      <c r="AQ81" s="34"/>
      <c r="AU81" s="32"/>
      <c r="AV81" s="32"/>
      <c r="AX81" s="5"/>
    </row>
    <row r="82" spans="1:50" ht="19.5" customHeight="1">
      <c r="C82" s="106"/>
      <c r="D82" s="550" t="s">
        <v>110</v>
      </c>
      <c r="E82" s="550"/>
      <c r="F82" s="550"/>
      <c r="G82" s="550"/>
      <c r="H82" s="550"/>
      <c r="I82" s="550"/>
      <c r="J82" s="550"/>
      <c r="K82" s="550"/>
      <c r="L82" s="550"/>
      <c r="M82" s="550"/>
      <c r="N82" s="550"/>
      <c r="O82" s="550"/>
      <c r="P82" s="550"/>
      <c r="Q82" s="550"/>
      <c r="R82" s="550"/>
      <c r="S82" s="550"/>
      <c r="T82" s="550"/>
      <c r="U82" s="107"/>
      <c r="W82" s="527" t="s">
        <v>108</v>
      </c>
      <c r="X82" s="527"/>
      <c r="Y82" s="527"/>
      <c r="Z82" s="527"/>
      <c r="AA82" s="527"/>
      <c r="AB82" s="527"/>
      <c r="AC82" s="527"/>
      <c r="AD82" s="527"/>
      <c r="AE82" s="527"/>
      <c r="AF82" s="527"/>
      <c r="AG82" s="527"/>
      <c r="AH82" s="527"/>
      <c r="AI82" s="527"/>
      <c r="AJ82" s="527"/>
      <c r="AK82" s="527"/>
      <c r="AL82" s="527"/>
      <c r="AM82" s="527"/>
      <c r="AN82" s="527"/>
      <c r="AO82" s="527"/>
      <c r="AP82" s="527"/>
      <c r="AX82" s="5"/>
    </row>
    <row r="83" spans="1:50" ht="18.75" customHeight="1">
      <c r="C83" s="35"/>
      <c r="D83" s="551" t="s">
        <v>29</v>
      </c>
      <c r="E83" s="551"/>
      <c r="F83" s="551"/>
      <c r="G83" s="551"/>
      <c r="H83" s="551"/>
      <c r="I83" s="551"/>
      <c r="J83" s="551"/>
      <c r="K83" s="551"/>
      <c r="L83" s="32"/>
      <c r="M83" s="551" t="s">
        <v>30</v>
      </c>
      <c r="N83" s="551"/>
      <c r="O83" s="551"/>
      <c r="P83" s="551"/>
      <c r="Q83" s="551"/>
      <c r="R83" s="551"/>
      <c r="S83" s="551"/>
      <c r="T83" s="551"/>
      <c r="U83" s="36"/>
      <c r="W83" s="111"/>
      <c r="X83" s="552" t="s">
        <v>109</v>
      </c>
      <c r="Y83" s="552"/>
      <c r="Z83" s="552"/>
      <c r="AA83" s="552"/>
      <c r="AB83" s="552"/>
      <c r="AC83" s="552"/>
      <c r="AD83" s="552"/>
      <c r="AE83" s="552"/>
      <c r="AF83" s="552"/>
      <c r="AG83" s="111"/>
      <c r="AH83" s="111"/>
      <c r="AI83" s="553" t="s">
        <v>79</v>
      </c>
      <c r="AJ83" s="553"/>
      <c r="AK83" s="530"/>
      <c r="AL83" s="530"/>
      <c r="AM83" s="530"/>
      <c r="AN83" s="530"/>
      <c r="AO83" s="530"/>
      <c r="AP83" s="111"/>
    </row>
    <row r="84" spans="1:50" ht="5.25" customHeight="1">
      <c r="C84" s="35"/>
      <c r="D84" s="108"/>
      <c r="E84" s="108"/>
      <c r="F84" s="108"/>
      <c r="G84" s="108"/>
      <c r="H84" s="108"/>
      <c r="I84" s="108"/>
      <c r="J84" s="108"/>
      <c r="K84" s="108"/>
      <c r="L84" s="32"/>
      <c r="M84" s="108"/>
      <c r="N84" s="108"/>
      <c r="O84" s="108"/>
      <c r="P84" s="108"/>
      <c r="Q84" s="108"/>
      <c r="R84" s="108"/>
      <c r="S84" s="108"/>
      <c r="T84" s="108"/>
      <c r="U84" s="36"/>
      <c r="W84" s="111"/>
      <c r="X84" s="112"/>
      <c r="Y84" s="112"/>
      <c r="Z84" s="112"/>
      <c r="AA84" s="112"/>
      <c r="AB84" s="112"/>
      <c r="AC84" s="112"/>
      <c r="AD84" s="112"/>
      <c r="AE84" s="112"/>
      <c r="AF84" s="112"/>
      <c r="AG84" s="111"/>
      <c r="AH84" s="111"/>
      <c r="AI84" s="111"/>
      <c r="AJ84" s="111"/>
      <c r="AK84" s="111"/>
      <c r="AL84" s="111"/>
      <c r="AM84" s="111"/>
      <c r="AN84" s="111"/>
      <c r="AO84" s="111"/>
      <c r="AP84" s="111"/>
    </row>
    <row r="85" spans="1:50" ht="21.75" customHeight="1">
      <c r="C85" s="35"/>
      <c r="D85" s="543"/>
      <c r="E85" s="541"/>
      <c r="F85" s="109" t="s">
        <v>8</v>
      </c>
      <c r="G85" s="541"/>
      <c r="H85" s="541"/>
      <c r="I85" s="109" t="s">
        <v>8</v>
      </c>
      <c r="J85" s="541"/>
      <c r="K85" s="544"/>
      <c r="L85" s="32"/>
      <c r="M85" s="543"/>
      <c r="N85" s="541"/>
      <c r="O85" s="109" t="s">
        <v>8</v>
      </c>
      <c r="P85" s="541"/>
      <c r="Q85" s="541"/>
      <c r="R85" s="109" t="s">
        <v>8</v>
      </c>
      <c r="S85" s="541"/>
      <c r="T85" s="544"/>
      <c r="U85" s="36"/>
      <c r="W85" s="113"/>
      <c r="X85" s="521"/>
      <c r="Y85" s="522"/>
      <c r="Z85" s="142" t="s">
        <v>8</v>
      </c>
      <c r="AA85" s="522"/>
      <c r="AB85" s="522"/>
      <c r="AC85" s="522"/>
      <c r="AD85" s="142" t="s">
        <v>8</v>
      </c>
      <c r="AE85" s="522"/>
      <c r="AF85" s="523"/>
      <c r="AG85" s="111"/>
      <c r="AH85" s="111"/>
      <c r="AI85" s="530"/>
      <c r="AJ85" s="530"/>
      <c r="AK85" s="530"/>
      <c r="AL85" s="530"/>
      <c r="AM85" s="530"/>
      <c r="AN85" s="530"/>
      <c r="AO85" s="530"/>
      <c r="AP85" s="111"/>
    </row>
    <row r="86" spans="1:50" ht="21.75" customHeight="1">
      <c r="C86" s="35"/>
      <c r="D86" s="541"/>
      <c r="E86" s="541"/>
      <c r="F86" s="541"/>
      <c r="G86" s="541"/>
      <c r="H86" s="541"/>
      <c r="I86" s="541"/>
      <c r="J86" s="541"/>
      <c r="K86" s="541"/>
      <c r="L86" s="32"/>
      <c r="M86" s="541"/>
      <c r="N86" s="541"/>
      <c r="O86" s="541"/>
      <c r="P86" s="541"/>
      <c r="Q86" s="541"/>
      <c r="R86" s="541"/>
      <c r="S86" s="541"/>
      <c r="T86" s="541"/>
      <c r="U86" s="36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542"/>
      <c r="AJ86" s="542"/>
      <c r="AK86" s="542"/>
      <c r="AL86" s="542"/>
      <c r="AM86" s="542"/>
      <c r="AN86" s="542"/>
      <c r="AO86" s="542"/>
      <c r="AP86" s="111"/>
    </row>
    <row r="87" spans="1:50" s="37" customFormat="1" ht="21.75" customHeight="1">
      <c r="C87" s="38"/>
      <c r="D87" s="545" t="s">
        <v>20</v>
      </c>
      <c r="E87" s="545"/>
      <c r="F87" s="545"/>
      <c r="G87" s="545"/>
      <c r="H87" s="545"/>
      <c r="I87" s="545"/>
      <c r="J87" s="545"/>
      <c r="K87" s="545"/>
      <c r="L87" s="110"/>
      <c r="M87" s="545" t="s">
        <v>20</v>
      </c>
      <c r="N87" s="545"/>
      <c r="O87" s="545"/>
      <c r="P87" s="545"/>
      <c r="Q87" s="545"/>
      <c r="R87" s="545"/>
      <c r="S87" s="545"/>
      <c r="T87" s="545"/>
      <c r="U87" s="39"/>
      <c r="W87" s="114"/>
      <c r="X87" s="546" t="s">
        <v>20</v>
      </c>
      <c r="Y87" s="546"/>
      <c r="Z87" s="546"/>
      <c r="AA87" s="546"/>
      <c r="AB87" s="546"/>
      <c r="AC87" s="546"/>
      <c r="AD87" s="546"/>
      <c r="AE87" s="546"/>
      <c r="AF87" s="546"/>
      <c r="AG87" s="114"/>
      <c r="AH87" s="114"/>
      <c r="AI87" s="114"/>
      <c r="AJ87" s="114"/>
      <c r="AK87" s="114"/>
      <c r="AL87" s="114"/>
      <c r="AM87" s="114"/>
      <c r="AN87" s="114"/>
      <c r="AO87" s="114"/>
      <c r="AP87" s="114"/>
      <c r="AQ87" s="66"/>
    </row>
    <row r="88" spans="1:50" s="37" customFormat="1" ht="4.5" customHeight="1">
      <c r="D88" s="65"/>
      <c r="E88" s="65"/>
      <c r="F88" s="65"/>
      <c r="G88" s="65"/>
      <c r="H88" s="65"/>
      <c r="I88" s="65"/>
      <c r="J88" s="65"/>
      <c r="L88" s="65"/>
      <c r="M88" s="65"/>
      <c r="N88" s="65"/>
      <c r="O88" s="65"/>
      <c r="P88" s="65"/>
      <c r="Q88" s="65"/>
      <c r="R88" s="65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</row>
    <row r="89" spans="1:50" ht="5.25" customHeight="1" thickBot="1"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</row>
    <row r="90" spans="1:50" ht="13.8" thickTop="1">
      <c r="A90" s="540" t="s">
        <v>97</v>
      </c>
      <c r="B90" s="540"/>
      <c r="C90" s="540"/>
      <c r="D90" s="540"/>
      <c r="E90" s="540"/>
      <c r="F90" s="540"/>
      <c r="G90" s="540"/>
      <c r="H90" s="540"/>
      <c r="I90" s="540"/>
      <c r="J90" s="540"/>
      <c r="K90" s="540"/>
      <c r="L90" s="540"/>
      <c r="M90" s="540"/>
      <c r="N90" s="540"/>
      <c r="O90" s="540"/>
      <c r="P90" s="540"/>
      <c r="Q90" s="540"/>
      <c r="R90" s="540"/>
      <c r="S90" s="540"/>
      <c r="T90" s="540"/>
      <c r="U90" s="540"/>
      <c r="V90" s="540"/>
      <c r="W90" s="540"/>
      <c r="X90" s="540"/>
      <c r="Y90" s="540"/>
      <c r="Z90" s="540"/>
      <c r="AA90" s="540"/>
      <c r="AB90" s="540"/>
      <c r="AC90" s="540"/>
      <c r="AD90" s="540"/>
      <c r="AE90" s="540"/>
      <c r="AF90" s="540"/>
      <c r="AG90" s="540"/>
      <c r="AH90" s="540"/>
      <c r="AI90" s="540"/>
      <c r="AJ90" s="540"/>
      <c r="AK90" s="540"/>
      <c r="AL90" s="540"/>
      <c r="AM90" s="540"/>
      <c r="AN90" s="540"/>
      <c r="AO90" s="540"/>
      <c r="AP90" s="540"/>
      <c r="AQ90" s="540"/>
      <c r="AR90" s="540"/>
    </row>
    <row r="91" spans="1:50">
      <c r="E91" s="40"/>
    </row>
    <row r="93" spans="1:50">
      <c r="R93" s="5"/>
      <c r="AA93" s="33"/>
      <c r="AB93" s="33"/>
      <c r="AC93" s="33"/>
      <c r="AD93" s="33"/>
      <c r="AE93" s="33"/>
      <c r="AF93" s="33"/>
      <c r="AG93" s="33"/>
    </row>
  </sheetData>
  <sheetProtection formatCells="0"/>
  <mergeCells count="195">
    <mergeCell ref="T1:AR1"/>
    <mergeCell ref="A2:AR2"/>
    <mergeCell ref="B5:F5"/>
    <mergeCell ref="K5:O5"/>
    <mergeCell ref="S5:X5"/>
    <mergeCell ref="AE5:AH5"/>
    <mergeCell ref="AK5:AO5"/>
    <mergeCell ref="I9:AI9"/>
    <mergeCell ref="I11:AI11"/>
    <mergeCell ref="AN11:AP11"/>
    <mergeCell ref="C14:AP14"/>
    <mergeCell ref="E16:I16"/>
    <mergeCell ref="Q16:V16"/>
    <mergeCell ref="Y16:AG16"/>
    <mergeCell ref="AH16:AI16"/>
    <mergeCell ref="AK16:AL16"/>
    <mergeCell ref="G18:K18"/>
    <mergeCell ref="S18:W18"/>
    <mergeCell ref="X18:Y18"/>
    <mergeCell ref="AE18:AH18"/>
    <mergeCell ref="C20:H20"/>
    <mergeCell ref="I20:M20"/>
    <mergeCell ref="O20:S20"/>
    <mergeCell ref="T20:W20"/>
    <mergeCell ref="Y20:AC20"/>
    <mergeCell ref="AE20:AH20"/>
    <mergeCell ref="C22:D22"/>
    <mergeCell ref="E22:H22"/>
    <mergeCell ref="I22:J22"/>
    <mergeCell ref="K22:L22"/>
    <mergeCell ref="N22:O22"/>
    <mergeCell ref="P22:R22"/>
    <mergeCell ref="S22:V22"/>
    <mergeCell ref="AG22:AK22"/>
    <mergeCell ref="AL22:AP22"/>
    <mergeCell ref="C24:D24"/>
    <mergeCell ref="E24:H24"/>
    <mergeCell ref="I24:M24"/>
    <mergeCell ref="N24:O24"/>
    <mergeCell ref="Q24:R24"/>
    <mergeCell ref="S24:U24"/>
    <mergeCell ref="V24:Y24"/>
    <mergeCell ref="AB24:AC24"/>
    <mergeCell ref="AE24:AI24"/>
    <mergeCell ref="AK24:AM24"/>
    <mergeCell ref="AN24:AP24"/>
    <mergeCell ref="C26:G26"/>
    <mergeCell ref="H26:M26"/>
    <mergeCell ref="N26:O26"/>
    <mergeCell ref="P26:Q26"/>
    <mergeCell ref="R26:S26"/>
    <mergeCell ref="T26:U26"/>
    <mergeCell ref="C28:H28"/>
    <mergeCell ref="I28:S28"/>
    <mergeCell ref="U28:V28"/>
    <mergeCell ref="X28:AB28"/>
    <mergeCell ref="AE28:AI28"/>
    <mergeCell ref="AL28:AO28"/>
    <mergeCell ref="E29:H29"/>
    <mergeCell ref="I29:S29"/>
    <mergeCell ref="U29:V29"/>
    <mergeCell ref="X29:AC29"/>
    <mergeCell ref="AE29:AI29"/>
    <mergeCell ref="AL29:AP29"/>
    <mergeCell ref="C32:D32"/>
    <mergeCell ref="E32:T32"/>
    <mergeCell ref="V32:W32"/>
    <mergeCell ref="X32:AP32"/>
    <mergeCell ref="C35:AP35"/>
    <mergeCell ref="C37:G39"/>
    <mergeCell ref="H37:L37"/>
    <mergeCell ref="N37:R37"/>
    <mergeCell ref="S37:W37"/>
    <mergeCell ref="Y37:AA37"/>
    <mergeCell ref="AB37:AH37"/>
    <mergeCell ref="H39:J39"/>
    <mergeCell ref="K39:S39"/>
    <mergeCell ref="U39:AA39"/>
    <mergeCell ref="AB39:AC39"/>
    <mergeCell ref="AF39:AG39"/>
    <mergeCell ref="C41:K41"/>
    <mergeCell ref="M41:AN41"/>
    <mergeCell ref="C42:E42"/>
    <mergeCell ref="F42:J42"/>
    <mergeCell ref="M42:Q42"/>
    <mergeCell ref="C45:H45"/>
    <mergeCell ref="I45:J45"/>
    <mergeCell ref="M45:Y45"/>
    <mergeCell ref="AC45:AM45"/>
    <mergeCell ref="AJ52:AK52"/>
    <mergeCell ref="M46:O46"/>
    <mergeCell ref="P46:T46"/>
    <mergeCell ref="C47:H47"/>
    <mergeCell ref="N47:Q47"/>
    <mergeCell ref="R47:S47"/>
    <mergeCell ref="T47:U47"/>
    <mergeCell ref="V47:W47"/>
    <mergeCell ref="AC47:AM47"/>
    <mergeCell ref="K49:L49"/>
    <mergeCell ref="N49:O49"/>
    <mergeCell ref="Z49:AA49"/>
    <mergeCell ref="AC49:AD49"/>
    <mergeCell ref="AG49:AH49"/>
    <mergeCell ref="C54:K54"/>
    <mergeCell ref="L54:M54"/>
    <mergeCell ref="O54:Q55"/>
    <mergeCell ref="R54:AN54"/>
    <mergeCell ref="R55:AN55"/>
    <mergeCell ref="C57:AP57"/>
    <mergeCell ref="E59:M59"/>
    <mergeCell ref="P59:AA59"/>
    <mergeCell ref="AE59:AO59"/>
    <mergeCell ref="C50:G52"/>
    <mergeCell ref="H50:J50"/>
    <mergeCell ref="K50:L50"/>
    <mergeCell ref="N50:O50"/>
    <mergeCell ref="V50:Y50"/>
    <mergeCell ref="Z50:AA50"/>
    <mergeCell ref="AC50:AD50"/>
    <mergeCell ref="AG50:AH50"/>
    <mergeCell ref="AL50:AO50"/>
    <mergeCell ref="H51:J51"/>
    <mergeCell ref="K51:L51"/>
    <mergeCell ref="N51:O51"/>
    <mergeCell ref="V51:Y51"/>
    <mergeCell ref="Z51:AA51"/>
    <mergeCell ref="AC51:AD51"/>
    <mergeCell ref="AG51:AH51"/>
    <mergeCell ref="AM51:AN51"/>
    <mergeCell ref="H52:J52"/>
    <mergeCell ref="K52:L52"/>
    <mergeCell ref="N52:O52"/>
    <mergeCell ref="V52:Y52"/>
    <mergeCell ref="Z52:AA52"/>
    <mergeCell ref="AC52:AD52"/>
    <mergeCell ref="AG52:AH52"/>
    <mergeCell ref="E61:H61"/>
    <mergeCell ref="J61:M61"/>
    <mergeCell ref="Q61:T61"/>
    <mergeCell ref="V61:Y61"/>
    <mergeCell ref="AE61:AF61"/>
    <mergeCell ref="AG61:AH61"/>
    <mergeCell ref="AK61:AL61"/>
    <mergeCell ref="AM61:AN61"/>
    <mergeCell ref="C64:AP64"/>
    <mergeCell ref="C66:K66"/>
    <mergeCell ref="AC66:AP66"/>
    <mergeCell ref="AW66:BA66"/>
    <mergeCell ref="E68:K68"/>
    <mergeCell ref="P68:Q68"/>
    <mergeCell ref="R68:S68"/>
    <mergeCell ref="V68:W68"/>
    <mergeCell ref="AE68:AI68"/>
    <mergeCell ref="AJ68:AM68"/>
    <mergeCell ref="E70:K70"/>
    <mergeCell ref="P70:S70"/>
    <mergeCell ref="T70:W70"/>
    <mergeCell ref="AJ70:AM70"/>
    <mergeCell ref="E72:K72"/>
    <mergeCell ref="P72:U72"/>
    <mergeCell ref="AE72:AG72"/>
    <mergeCell ref="AH72:AN72"/>
    <mergeCell ref="E74:K74"/>
    <mergeCell ref="P74:U74"/>
    <mergeCell ref="X74:AB74"/>
    <mergeCell ref="AC74:AP77"/>
    <mergeCell ref="P76:U76"/>
    <mergeCell ref="X76:AB76"/>
    <mergeCell ref="P78:U78"/>
    <mergeCell ref="X78:AB78"/>
    <mergeCell ref="C80:AP80"/>
    <mergeCell ref="D82:T82"/>
    <mergeCell ref="W82:AP82"/>
    <mergeCell ref="D83:K83"/>
    <mergeCell ref="M83:T83"/>
    <mergeCell ref="X83:AF83"/>
    <mergeCell ref="AI83:AJ83"/>
    <mergeCell ref="AK83:AO83"/>
    <mergeCell ref="A90:AR90"/>
    <mergeCell ref="X85:Y85"/>
    <mergeCell ref="AA85:AC85"/>
    <mergeCell ref="AE85:AF85"/>
    <mergeCell ref="AI85:AO85"/>
    <mergeCell ref="D86:K86"/>
    <mergeCell ref="M86:T86"/>
    <mergeCell ref="AI86:AO86"/>
    <mergeCell ref="D85:E85"/>
    <mergeCell ref="G85:H85"/>
    <mergeCell ref="J85:K85"/>
    <mergeCell ref="M85:N85"/>
    <mergeCell ref="P85:Q85"/>
    <mergeCell ref="S85:T85"/>
    <mergeCell ref="D87:K87"/>
    <mergeCell ref="M87:T87"/>
    <mergeCell ref="X87:AF87"/>
  </mergeCells>
  <printOptions horizontalCentered="1"/>
  <pageMargins left="0.11811023622047245" right="0" top="0.23622047244094491" bottom="0.19685039370078741" header="0.23622047244094491" footer="0"/>
  <pageSetup paperSize="9" scale="53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BN107"/>
  <sheetViews>
    <sheetView showGridLines="0" showZeros="0" view="pageBreakPreview" zoomScale="70" zoomScaleNormal="75" zoomScaleSheetLayoutView="70" workbookViewId="0">
      <selection activeCell="T87" sqref="T87"/>
    </sheetView>
  </sheetViews>
  <sheetFormatPr defaultColWidth="2.6640625" defaultRowHeight="13.2"/>
  <cols>
    <col min="1" max="1" width="2" style="20" customWidth="1"/>
    <col min="2" max="2" width="1.6640625" style="20" customWidth="1"/>
    <col min="3" max="3" width="2.6640625" style="20" customWidth="1"/>
    <col min="4" max="4" width="4.109375" style="20" customWidth="1"/>
    <col min="5" max="5" width="5.6640625" style="20" customWidth="1"/>
    <col min="6" max="6" width="7.33203125" style="20" customWidth="1"/>
    <col min="7" max="7" width="3.88671875" style="20" customWidth="1"/>
    <col min="8" max="8" width="5.6640625" style="20" customWidth="1"/>
    <col min="9" max="9" width="3.88671875" style="20" customWidth="1"/>
    <col min="10" max="10" width="3.109375" style="20" customWidth="1"/>
    <col min="11" max="11" width="5.44140625" style="20" customWidth="1"/>
    <col min="12" max="12" width="2.88671875" style="20" customWidth="1"/>
    <col min="13" max="13" width="7" style="20" customWidth="1"/>
    <col min="14" max="14" width="4" style="20" customWidth="1"/>
    <col min="15" max="15" width="8" style="20" customWidth="1"/>
    <col min="16" max="16" width="10.5546875" style="20" customWidth="1"/>
    <col min="17" max="17" width="1.44140625" style="20" customWidth="1"/>
    <col min="18" max="18" width="8.109375" style="20" customWidth="1"/>
    <col min="19" max="19" width="5.33203125" style="20" customWidth="1"/>
    <col min="20" max="20" width="4.6640625" style="20" customWidth="1"/>
    <col min="21" max="21" width="5.109375" style="20" customWidth="1"/>
    <col min="22" max="22" width="5.88671875" style="20" customWidth="1"/>
    <col min="23" max="23" width="4.5546875" style="20" customWidth="1"/>
    <col min="24" max="24" width="5.6640625" style="20" customWidth="1"/>
    <col min="25" max="25" width="4.109375" style="20" customWidth="1"/>
    <col min="26" max="26" width="2.6640625" style="20" customWidth="1"/>
    <col min="27" max="27" width="7" style="20" customWidth="1"/>
    <col min="28" max="28" width="4.6640625" style="20" customWidth="1"/>
    <col min="29" max="29" width="8" style="20" customWidth="1"/>
    <col min="30" max="30" width="4.44140625" style="20" customWidth="1"/>
    <col min="31" max="31" width="7.33203125" style="20" customWidth="1"/>
    <col min="32" max="32" width="0.88671875" style="20" customWidth="1"/>
    <col min="33" max="33" width="9" style="20" customWidth="1"/>
    <col min="34" max="34" width="1.5546875" style="20" customWidth="1"/>
    <col min="35" max="35" width="5.88671875" style="20" customWidth="1"/>
    <col min="36" max="36" width="3.44140625" style="20" customWidth="1"/>
    <col min="37" max="37" width="5.33203125" style="20" customWidth="1"/>
    <col min="38" max="38" width="8.33203125" style="20" customWidth="1"/>
    <col min="39" max="39" width="1.33203125" style="20" hidden="1" customWidth="1"/>
    <col min="40" max="40" width="8.6640625" style="20" customWidth="1"/>
    <col min="41" max="41" width="4.33203125" style="20" customWidth="1"/>
    <col min="42" max="42" width="6.109375" style="20" customWidth="1"/>
    <col min="43" max="43" width="2.33203125" style="20" customWidth="1"/>
    <col min="44" max="44" width="4.33203125" style="20" customWidth="1"/>
    <col min="45" max="45" width="2.33203125" style="20" customWidth="1"/>
    <col min="46" max="46" width="1.5546875" style="20" customWidth="1"/>
    <col min="47" max="49" width="2.6640625" style="20"/>
    <col min="50" max="50" width="5.5546875" style="20" bestFit="1" customWidth="1"/>
    <col min="51" max="51" width="2.6640625" style="20"/>
    <col min="52" max="52" width="5.5546875" style="20" bestFit="1" customWidth="1"/>
    <col min="53" max="53" width="2.6640625" style="20"/>
    <col min="54" max="54" width="8.5546875" style="20" hidden="1" customWidth="1"/>
    <col min="55" max="68" width="0" style="20" hidden="1" customWidth="1"/>
    <col min="69" max="16384" width="2.6640625" style="20"/>
  </cols>
  <sheetData>
    <row r="1" spans="1:46" ht="8.25" customHeight="1" thickBot="1">
      <c r="A1" s="18"/>
      <c r="B1" s="18"/>
      <c r="C1" s="19" t="s">
        <v>5</v>
      </c>
      <c r="D1" s="8" t="s">
        <v>5</v>
      </c>
      <c r="E1" s="8"/>
      <c r="F1" s="8"/>
      <c r="G1" s="8"/>
      <c r="H1" s="8"/>
      <c r="I1" s="8"/>
      <c r="J1" s="19" t="s">
        <v>5</v>
      </c>
      <c r="K1" s="8"/>
      <c r="L1" s="8"/>
      <c r="M1" s="8"/>
      <c r="N1" s="8"/>
      <c r="O1" s="8"/>
      <c r="P1" s="8"/>
      <c r="Q1" s="9"/>
      <c r="R1" s="8"/>
      <c r="T1" s="637"/>
      <c r="U1" s="637"/>
      <c r="V1" s="637"/>
      <c r="W1" s="637"/>
      <c r="X1" s="637"/>
      <c r="Y1" s="637"/>
      <c r="Z1" s="637"/>
      <c r="AA1" s="637"/>
      <c r="AB1" s="637"/>
      <c r="AC1" s="637"/>
      <c r="AD1" s="637"/>
      <c r="AE1" s="637"/>
      <c r="AF1" s="637"/>
      <c r="AG1" s="637"/>
      <c r="AH1" s="637"/>
      <c r="AI1" s="637"/>
      <c r="AJ1" s="637"/>
      <c r="AK1" s="637"/>
      <c r="AL1" s="637"/>
      <c r="AM1" s="637"/>
      <c r="AN1" s="637"/>
      <c r="AO1" s="637"/>
      <c r="AP1" s="637"/>
      <c r="AQ1" s="637"/>
      <c r="AR1" s="637"/>
      <c r="AS1" s="637"/>
      <c r="AT1" s="637"/>
    </row>
    <row r="2" spans="1:46" ht="33.75" customHeight="1" thickTop="1" thickBot="1">
      <c r="A2" s="489" t="s">
        <v>0</v>
      </c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  <c r="S2" s="490"/>
      <c r="T2" s="490"/>
      <c r="U2" s="490"/>
      <c r="V2" s="490"/>
      <c r="W2" s="490"/>
      <c r="X2" s="490"/>
      <c r="Y2" s="490"/>
      <c r="Z2" s="490"/>
      <c r="AA2" s="490"/>
      <c r="AB2" s="490"/>
      <c r="AC2" s="490"/>
      <c r="AD2" s="490"/>
      <c r="AE2" s="490"/>
      <c r="AF2" s="490"/>
      <c r="AG2" s="490"/>
      <c r="AH2" s="490"/>
      <c r="AI2" s="490"/>
      <c r="AJ2" s="490"/>
      <c r="AK2" s="490"/>
      <c r="AL2" s="490"/>
      <c r="AM2" s="490"/>
      <c r="AN2" s="490"/>
      <c r="AO2" s="490"/>
      <c r="AP2" s="490"/>
      <c r="AQ2" s="490"/>
      <c r="AR2" s="490"/>
      <c r="AS2" s="490"/>
      <c r="AT2" s="491"/>
    </row>
    <row r="3" spans="1:46" ht="9.9" customHeight="1" thickTop="1">
      <c r="A3" s="21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</row>
    <row r="4" spans="1:46" ht="9.9" customHeight="1">
      <c r="A4" s="21"/>
      <c r="B4" s="70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3"/>
    </row>
    <row r="5" spans="1:46" ht="21.75" customHeight="1">
      <c r="B5" s="35"/>
      <c r="C5" s="220" t="s">
        <v>156</v>
      </c>
      <c r="D5" s="220"/>
      <c r="E5" s="220"/>
      <c r="F5" s="220"/>
      <c r="H5" s="23"/>
      <c r="I5" s="578"/>
      <c r="J5" s="580"/>
      <c r="K5" s="639" t="s">
        <v>21</v>
      </c>
      <c r="L5" s="639"/>
      <c r="M5" s="639"/>
      <c r="N5" s="639"/>
      <c r="O5" s="639"/>
      <c r="P5" s="639"/>
      <c r="Q5" s="13"/>
      <c r="R5" s="221"/>
      <c r="S5" s="639" t="s">
        <v>3</v>
      </c>
      <c r="T5" s="639"/>
      <c r="U5" s="639"/>
      <c r="V5" s="639"/>
      <c r="W5" s="639"/>
      <c r="X5" s="640"/>
      <c r="Y5" s="716"/>
      <c r="Z5" s="717"/>
      <c r="AA5" s="46"/>
      <c r="AB5" s="46"/>
      <c r="AC5" s="6"/>
      <c r="AD5" s="189" t="s">
        <v>23</v>
      </c>
      <c r="AE5" s="189"/>
      <c r="AF5" s="189"/>
      <c r="AG5" s="222"/>
      <c r="AK5" s="23"/>
      <c r="AL5" s="6"/>
      <c r="AM5" s="639"/>
      <c r="AN5" s="639"/>
      <c r="AO5" s="639"/>
      <c r="AP5" s="639"/>
      <c r="AQ5" s="639"/>
      <c r="AR5" s="216"/>
      <c r="AS5" s="121"/>
    </row>
    <row r="6" spans="1:46" ht="12.75" customHeight="1">
      <c r="B6" s="56"/>
      <c r="C6" s="57"/>
      <c r="D6" s="58"/>
      <c r="E6" s="59"/>
      <c r="F6" s="58"/>
      <c r="G6" s="58"/>
      <c r="H6" s="59"/>
      <c r="I6" s="59"/>
      <c r="J6" s="58"/>
      <c r="K6" s="58"/>
      <c r="L6" s="58"/>
      <c r="M6" s="58"/>
      <c r="N6" s="58"/>
      <c r="O6" s="58"/>
      <c r="P6" s="59"/>
      <c r="Q6" s="59"/>
      <c r="R6" s="61"/>
      <c r="S6" s="61"/>
      <c r="T6" s="58"/>
      <c r="U6" s="58"/>
      <c r="V6" s="58"/>
      <c r="W6" s="59"/>
      <c r="X6" s="61"/>
      <c r="Y6" s="61"/>
      <c r="Z6" s="61"/>
      <c r="AA6" s="61"/>
      <c r="AB6" s="61"/>
      <c r="AC6" s="59"/>
      <c r="AD6" s="61"/>
      <c r="AE6" s="58"/>
      <c r="AF6" s="58"/>
      <c r="AG6" s="58"/>
      <c r="AH6" s="58"/>
      <c r="AI6" s="58"/>
      <c r="AJ6" s="58"/>
      <c r="AK6" s="59"/>
      <c r="AL6" s="59"/>
      <c r="AM6" s="63"/>
      <c r="AN6" s="58"/>
      <c r="AO6" s="58"/>
      <c r="AP6" s="58"/>
      <c r="AQ6" s="58"/>
      <c r="AR6" s="59"/>
      <c r="AS6" s="64"/>
    </row>
    <row r="7" spans="1:46" ht="12.75" customHeight="1">
      <c r="B7" s="175"/>
      <c r="C7" s="11"/>
      <c r="D7" s="12"/>
      <c r="E7" s="6"/>
      <c r="F7" s="12"/>
      <c r="G7" s="12"/>
      <c r="H7" s="6"/>
      <c r="I7" s="6"/>
      <c r="J7" s="12"/>
      <c r="K7" s="12"/>
      <c r="L7" s="12"/>
      <c r="M7" s="12"/>
      <c r="N7" s="12"/>
      <c r="O7" s="12"/>
      <c r="P7" s="6"/>
      <c r="Q7" s="6"/>
      <c r="R7" s="13"/>
      <c r="S7" s="13"/>
      <c r="T7" s="12"/>
      <c r="U7" s="12"/>
      <c r="V7" s="12"/>
      <c r="W7" s="6"/>
      <c r="X7" s="13"/>
      <c r="Y7" s="13"/>
      <c r="Z7" s="13"/>
      <c r="AA7" s="13"/>
      <c r="AB7" s="13"/>
      <c r="AC7" s="6"/>
      <c r="AD7" s="13"/>
      <c r="AE7" s="12"/>
      <c r="AF7" s="12"/>
      <c r="AG7" s="12"/>
      <c r="AH7" s="12"/>
      <c r="AI7" s="12"/>
      <c r="AJ7" s="12"/>
      <c r="AK7" s="6"/>
      <c r="AL7" s="6"/>
      <c r="AM7" s="14"/>
      <c r="AN7" s="12"/>
      <c r="AO7" s="12"/>
      <c r="AP7" s="12"/>
      <c r="AQ7" s="12"/>
      <c r="AR7" s="6"/>
      <c r="AS7" s="175"/>
    </row>
    <row r="8" spans="1:46" ht="12.75" customHeight="1">
      <c r="B8" s="75"/>
      <c r="C8" s="76"/>
      <c r="D8" s="77"/>
      <c r="E8" s="24"/>
      <c r="F8" s="77"/>
      <c r="G8" s="77"/>
      <c r="H8" s="24"/>
      <c r="I8" s="24"/>
      <c r="J8" s="77"/>
      <c r="K8" s="77"/>
      <c r="L8" s="77"/>
      <c r="M8" s="77"/>
      <c r="N8" s="77"/>
      <c r="O8" s="77"/>
      <c r="P8" s="24"/>
      <c r="Q8" s="24"/>
      <c r="R8" s="25"/>
      <c r="S8" s="25"/>
      <c r="T8" s="77"/>
      <c r="U8" s="77"/>
      <c r="V8" s="77"/>
      <c r="W8" s="24"/>
      <c r="X8" s="25"/>
      <c r="Y8" s="25"/>
      <c r="Z8" s="25"/>
      <c r="AA8" s="25"/>
      <c r="AB8" s="25"/>
      <c r="AC8" s="24"/>
      <c r="AD8" s="25"/>
      <c r="AE8" s="77"/>
      <c r="AF8" s="77"/>
      <c r="AG8" s="77"/>
      <c r="AH8" s="77"/>
      <c r="AI8" s="77"/>
      <c r="AJ8" s="77"/>
      <c r="AK8" s="24"/>
      <c r="AL8" s="24"/>
      <c r="AM8" s="78"/>
      <c r="AN8" s="77"/>
      <c r="AO8" s="77"/>
      <c r="AP8" s="77"/>
      <c r="AQ8" s="77"/>
      <c r="AR8" s="24"/>
      <c r="AS8" s="79"/>
    </row>
    <row r="9" spans="1:46" ht="26.4" customHeight="1">
      <c r="A9" s="26"/>
      <c r="B9" s="80"/>
      <c r="C9" s="238" t="s">
        <v>27</v>
      </c>
      <c r="D9" s="6"/>
      <c r="E9" s="46"/>
      <c r="F9" s="46"/>
      <c r="G9" s="6"/>
      <c r="H9" s="28"/>
      <c r="I9" s="641"/>
      <c r="J9" s="642"/>
      <c r="K9" s="642"/>
      <c r="L9" s="642"/>
      <c r="M9" s="642"/>
      <c r="N9" s="642"/>
      <c r="O9" s="642"/>
      <c r="P9" s="642"/>
      <c r="Q9" s="642"/>
      <c r="R9" s="642"/>
      <c r="S9" s="642"/>
      <c r="T9" s="642"/>
      <c r="U9" s="642"/>
      <c r="V9" s="642"/>
      <c r="W9" s="642"/>
      <c r="X9" s="642"/>
      <c r="Y9" s="642"/>
      <c r="Z9" s="642"/>
      <c r="AA9" s="642"/>
      <c r="AB9" s="642"/>
      <c r="AC9" s="642"/>
      <c r="AD9" s="642"/>
      <c r="AE9" s="642"/>
      <c r="AF9" s="642"/>
      <c r="AG9" s="642"/>
      <c r="AH9" s="642"/>
      <c r="AI9" s="642"/>
      <c r="AJ9" s="642"/>
      <c r="AK9" s="643"/>
      <c r="AL9" s="692" t="s">
        <v>33</v>
      </c>
      <c r="AM9" s="693"/>
      <c r="AN9" s="693"/>
      <c r="AO9" s="190"/>
      <c r="AP9" s="202" t="s">
        <v>34</v>
      </c>
      <c r="AQ9" s="28"/>
      <c r="AR9" s="29"/>
      <c r="AS9" s="121"/>
    </row>
    <row r="10" spans="1:46" ht="9.9" customHeight="1">
      <c r="A10" s="26"/>
      <c r="B10" s="81"/>
      <c r="C10" s="1"/>
      <c r="D10" s="6"/>
      <c r="E10" s="12"/>
      <c r="F10" s="12"/>
      <c r="G10" s="6"/>
      <c r="H10" s="30"/>
      <c r="I10" s="30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121"/>
    </row>
    <row r="11" spans="1:46" s="31" customFormat="1" ht="26.4" customHeight="1">
      <c r="B11" s="82"/>
      <c r="C11" s="239" t="s">
        <v>17</v>
      </c>
      <c r="D11" s="17"/>
      <c r="E11" s="17"/>
      <c r="F11" s="17"/>
      <c r="G11" s="17"/>
      <c r="H11" s="28"/>
      <c r="I11" s="641"/>
      <c r="J11" s="642"/>
      <c r="K11" s="642"/>
      <c r="L11" s="642"/>
      <c r="M11" s="642"/>
      <c r="N11" s="642"/>
      <c r="O11" s="642"/>
      <c r="P11" s="642"/>
      <c r="Q11" s="642"/>
      <c r="R11" s="642"/>
      <c r="S11" s="642"/>
      <c r="T11" s="642"/>
      <c r="U11" s="642"/>
      <c r="V11" s="642"/>
      <c r="W11" s="642"/>
      <c r="X11" s="642"/>
      <c r="Y11" s="642"/>
      <c r="Z11" s="642"/>
      <c r="AA11" s="642"/>
      <c r="AB11" s="642"/>
      <c r="AC11" s="642"/>
      <c r="AD11" s="642"/>
      <c r="AE11" s="642"/>
      <c r="AF11" s="642"/>
      <c r="AG11" s="642"/>
      <c r="AH11" s="642"/>
      <c r="AI11" s="642"/>
      <c r="AJ11" s="642"/>
      <c r="AK11" s="643"/>
      <c r="AL11" s="694" t="s">
        <v>35</v>
      </c>
      <c r="AM11" s="695"/>
      <c r="AN11" s="695"/>
      <c r="AO11" s="696"/>
      <c r="AP11" s="641"/>
      <c r="AQ11" s="642"/>
      <c r="AR11" s="643"/>
      <c r="AS11" s="121"/>
    </row>
    <row r="12" spans="1:46" s="31" customFormat="1" ht="12" customHeight="1">
      <c r="B12" s="56"/>
      <c r="C12" s="83"/>
      <c r="D12" s="84"/>
      <c r="E12" s="84"/>
      <c r="F12" s="84"/>
      <c r="G12" s="84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84"/>
      <c r="AM12" s="85"/>
      <c r="AN12" s="86"/>
      <c r="AO12" s="86"/>
      <c r="AP12" s="87"/>
      <c r="AQ12" s="87"/>
      <c r="AR12" s="87"/>
      <c r="AS12" s="64"/>
    </row>
    <row r="13" spans="1:46" s="31" customFormat="1" ht="6.75" customHeight="1">
      <c r="B13" s="175"/>
      <c r="C13" s="54"/>
      <c r="D13" s="17"/>
      <c r="E13" s="17"/>
      <c r="F13" s="17"/>
      <c r="G13" s="17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7"/>
      <c r="AM13" s="27"/>
      <c r="AN13" s="28"/>
      <c r="AO13" s="28"/>
      <c r="AP13" s="45"/>
      <c r="AQ13" s="45"/>
      <c r="AR13" s="45"/>
      <c r="AS13" s="175"/>
    </row>
    <row r="14" spans="1:46" ht="25.5" customHeight="1">
      <c r="B14" s="718" t="s">
        <v>53</v>
      </c>
      <c r="C14" s="718"/>
      <c r="D14" s="718"/>
      <c r="E14" s="718"/>
      <c r="F14" s="718"/>
      <c r="G14" s="718"/>
      <c r="H14" s="718"/>
      <c r="I14" s="718"/>
      <c r="J14" s="718"/>
      <c r="K14" s="718"/>
      <c r="L14" s="718"/>
      <c r="M14" s="718"/>
      <c r="N14" s="718"/>
      <c r="O14" s="718"/>
      <c r="P14" s="718"/>
      <c r="Q14" s="718"/>
      <c r="R14" s="718"/>
      <c r="S14" s="718"/>
      <c r="T14" s="718"/>
      <c r="U14" s="718"/>
      <c r="V14" s="718"/>
      <c r="W14" s="718"/>
      <c r="X14" s="718"/>
      <c r="Y14" s="718"/>
      <c r="Z14" s="718"/>
      <c r="AA14" s="718"/>
      <c r="AB14" s="718"/>
      <c r="AC14" s="718"/>
      <c r="AD14" s="718"/>
      <c r="AE14" s="718"/>
      <c r="AF14" s="718"/>
      <c r="AG14" s="718"/>
      <c r="AH14" s="718"/>
      <c r="AI14" s="718"/>
      <c r="AJ14" s="718"/>
      <c r="AK14" s="718"/>
      <c r="AL14" s="718"/>
      <c r="AM14" s="718"/>
      <c r="AN14" s="718"/>
      <c r="AO14" s="718"/>
      <c r="AP14" s="718"/>
      <c r="AQ14" s="718"/>
      <c r="AR14" s="718"/>
      <c r="AS14" s="718"/>
    </row>
    <row r="15" spans="1:46" s="92" customFormat="1" ht="6.9" customHeight="1">
      <c r="B15" s="161"/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162"/>
      <c r="AG15" s="162"/>
      <c r="AH15" s="162"/>
      <c r="AI15" s="162"/>
      <c r="AJ15" s="162"/>
      <c r="AK15" s="162"/>
      <c r="AL15" s="162"/>
      <c r="AM15" s="162"/>
      <c r="AN15" s="162"/>
      <c r="AO15" s="162"/>
      <c r="AP15" s="163"/>
      <c r="AQ15" s="164"/>
      <c r="AR15" s="164"/>
      <c r="AS15" s="165"/>
      <c r="AT15" s="228"/>
    </row>
    <row r="16" spans="1:46" ht="28.5" customHeight="1">
      <c r="B16" s="88"/>
      <c r="C16" s="201" t="s">
        <v>6</v>
      </c>
      <c r="D16" s="23"/>
      <c r="E16" s="23"/>
      <c r="F16" s="23"/>
      <c r="G16" s="686"/>
      <c r="H16" s="687"/>
      <c r="I16" s="687"/>
      <c r="J16" s="687"/>
      <c r="K16" s="687"/>
      <c r="L16" s="688"/>
      <c r="M16" s="201" t="s">
        <v>38</v>
      </c>
      <c r="N16" s="201"/>
      <c r="O16" s="686"/>
      <c r="P16" s="687"/>
      <c r="Q16" s="687"/>
      <c r="R16" s="687"/>
      <c r="S16" s="687"/>
      <c r="T16" s="688"/>
      <c r="U16" s="477" t="s">
        <v>4</v>
      </c>
      <c r="V16" s="472"/>
      <c r="W16" s="478"/>
      <c r="X16" s="686"/>
      <c r="Y16" s="687"/>
      <c r="Z16" s="687"/>
      <c r="AA16" s="687"/>
      <c r="AB16" s="687"/>
      <c r="AC16" s="687"/>
      <c r="AD16" s="687"/>
      <c r="AE16" s="687"/>
      <c r="AF16" s="688"/>
      <c r="AG16" s="441" t="s">
        <v>44</v>
      </c>
      <c r="AH16" s="441"/>
      <c r="AI16" s="441"/>
      <c r="AJ16" s="441"/>
      <c r="AK16" s="686"/>
      <c r="AL16" s="687"/>
      <c r="AM16" s="687"/>
      <c r="AN16" s="687"/>
      <c r="AO16" s="687"/>
      <c r="AP16" s="687"/>
      <c r="AQ16" s="687"/>
      <c r="AR16" s="688"/>
      <c r="AS16" s="121"/>
      <c r="AT16" s="36"/>
    </row>
    <row r="17" spans="2:46" s="92" customFormat="1" ht="6.9" customHeight="1">
      <c r="B17" s="95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192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4"/>
      <c r="AQ17" s="116"/>
      <c r="AR17" s="116"/>
      <c r="AS17" s="96"/>
      <c r="AT17" s="228"/>
    </row>
    <row r="18" spans="2:46" ht="28.5" customHeight="1">
      <c r="B18" s="88"/>
      <c r="C18" s="339" t="s">
        <v>7</v>
      </c>
      <c r="D18" s="339"/>
      <c r="E18" s="339"/>
      <c r="F18" s="339"/>
      <c r="G18" s="497"/>
      <c r="H18" s="498"/>
      <c r="I18" s="498"/>
      <c r="J18" s="498"/>
      <c r="K18" s="498"/>
      <c r="L18" s="498"/>
      <c r="M18" s="498"/>
      <c r="N18" s="498"/>
      <c r="O18" s="498"/>
      <c r="P18" s="499"/>
      <c r="Q18" s="23"/>
      <c r="R18" s="441" t="s">
        <v>112</v>
      </c>
      <c r="S18" s="442"/>
      <c r="T18" s="707"/>
      <c r="U18" s="708"/>
      <c r="V18" s="708"/>
      <c r="W18" s="709"/>
      <c r="X18" s="440" t="s">
        <v>47</v>
      </c>
      <c r="Y18" s="441"/>
      <c r="Z18" s="686"/>
      <c r="AA18" s="687"/>
      <c r="AB18" s="687"/>
      <c r="AC18" s="688"/>
      <c r="AD18" s="190"/>
      <c r="AE18" s="341" t="s">
        <v>10</v>
      </c>
      <c r="AF18" s="634"/>
      <c r="AG18" s="636"/>
      <c r="AJ18" s="441" t="s">
        <v>32</v>
      </c>
      <c r="AK18" s="441"/>
      <c r="AL18" s="442"/>
      <c r="AM18" s="686"/>
      <c r="AN18" s="687"/>
      <c r="AO18" s="687"/>
      <c r="AP18" s="687"/>
      <c r="AQ18" s="687"/>
      <c r="AR18" s="688"/>
      <c r="AS18" s="121"/>
      <c r="AT18" s="36"/>
    </row>
    <row r="19" spans="2:46" s="92" customFormat="1" ht="6.9" customHeight="1">
      <c r="B19" s="95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4"/>
      <c r="AQ19" s="116"/>
      <c r="AR19" s="116"/>
      <c r="AS19" s="96"/>
      <c r="AT19" s="228"/>
    </row>
    <row r="20" spans="2:46" ht="28.5" customHeight="1">
      <c r="B20" s="88"/>
      <c r="C20" s="449" t="s">
        <v>48</v>
      </c>
      <c r="D20" s="505"/>
      <c r="E20" s="578"/>
      <c r="F20" s="579"/>
      <c r="G20" s="579"/>
      <c r="H20" s="580"/>
      <c r="I20" s="503" t="s">
        <v>49</v>
      </c>
      <c r="J20" s="443"/>
      <c r="K20" s="443"/>
      <c r="L20" s="443"/>
      <c r="M20" s="444"/>
      <c r="N20" s="686"/>
      <c r="O20" s="688"/>
      <c r="P20" s="338" t="s">
        <v>10</v>
      </c>
      <c r="Q20" s="686"/>
      <c r="R20" s="688"/>
      <c r="S20" s="503" t="s">
        <v>32</v>
      </c>
      <c r="T20" s="443"/>
      <c r="U20" s="444"/>
      <c r="V20" s="724"/>
      <c r="W20" s="725"/>
      <c r="X20" s="725"/>
      <c r="Y20" s="726"/>
      <c r="Z20" s="125"/>
      <c r="AA20" s="125"/>
      <c r="AB20" s="125"/>
      <c r="AC20" s="23"/>
      <c r="AD20" s="441" t="s">
        <v>51</v>
      </c>
      <c r="AE20" s="441"/>
      <c r="AF20" s="143"/>
      <c r="AG20" s="686"/>
      <c r="AH20" s="687"/>
      <c r="AI20" s="687"/>
      <c r="AJ20" s="687"/>
      <c r="AK20" s="688"/>
      <c r="AL20" s="193"/>
      <c r="AM20" s="441" t="s">
        <v>52</v>
      </c>
      <c r="AN20" s="441"/>
      <c r="AO20" s="441"/>
      <c r="AP20" s="686"/>
      <c r="AQ20" s="687"/>
      <c r="AR20" s="688"/>
      <c r="AS20" s="121"/>
      <c r="AT20" s="36"/>
    </row>
    <row r="21" spans="2:46" s="92" customFormat="1" ht="6.9" customHeight="1">
      <c r="B21" s="95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4"/>
      <c r="AQ21" s="116"/>
      <c r="AR21" s="116"/>
      <c r="AS21" s="96"/>
      <c r="AT21" s="228"/>
    </row>
    <row r="22" spans="2:46" ht="28.5" customHeight="1">
      <c r="B22" s="88"/>
      <c r="C22" s="443" t="s">
        <v>50</v>
      </c>
      <c r="D22" s="443"/>
      <c r="E22" s="443"/>
      <c r="F22" s="443"/>
      <c r="G22" s="444"/>
      <c r="H22" s="686"/>
      <c r="I22" s="687"/>
      <c r="J22" s="687"/>
      <c r="K22" s="687"/>
      <c r="L22" s="687"/>
      <c r="M22" s="688"/>
      <c r="N22" s="440" t="s">
        <v>25</v>
      </c>
      <c r="O22" s="441"/>
      <c r="P22" s="686"/>
      <c r="Q22" s="688"/>
      <c r="R22" s="440" t="s">
        <v>26</v>
      </c>
      <c r="S22" s="441"/>
      <c r="T22" s="686"/>
      <c r="U22" s="688"/>
      <c r="V22" s="23"/>
      <c r="X22" s="23"/>
      <c r="Y22" s="443" t="s">
        <v>132</v>
      </c>
      <c r="Z22" s="443"/>
      <c r="AA22" s="443"/>
      <c r="AB22" s="444"/>
      <c r="AC22" s="686"/>
      <c r="AD22" s="687"/>
      <c r="AE22" s="687"/>
      <c r="AF22" s="688"/>
      <c r="AG22" s="713" t="s">
        <v>103</v>
      </c>
      <c r="AH22" s="714"/>
      <c r="AI22" s="714"/>
      <c r="AJ22" s="714"/>
      <c r="AK22" s="714"/>
      <c r="AL22" s="714"/>
      <c r="AM22" s="715"/>
      <c r="AN22" s="686"/>
      <c r="AO22" s="687"/>
      <c r="AP22" s="687"/>
      <c r="AQ22" s="687"/>
      <c r="AR22" s="688"/>
      <c r="AS22" s="121"/>
      <c r="AT22" s="36"/>
    </row>
    <row r="23" spans="2:46" s="92" customFormat="1" ht="3.75" customHeight="1">
      <c r="B23" s="95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49"/>
      <c r="AL23" s="116"/>
      <c r="AM23" s="116"/>
      <c r="AN23" s="116"/>
      <c r="AO23" s="116"/>
      <c r="AP23" s="116"/>
      <c r="AQ23" s="116"/>
      <c r="AR23" s="116"/>
      <c r="AS23" s="96"/>
      <c r="AT23" s="228"/>
    </row>
    <row r="24" spans="2:46" ht="19.5" customHeight="1">
      <c r="B24" s="88"/>
      <c r="C24" s="658" t="s">
        <v>40</v>
      </c>
      <c r="D24" s="658"/>
      <c r="E24" s="658"/>
      <c r="F24" s="658"/>
      <c r="G24" s="658"/>
      <c r="H24" s="658"/>
      <c r="I24" s="659" t="s">
        <v>41</v>
      </c>
      <c r="J24" s="659"/>
      <c r="K24" s="659"/>
      <c r="L24" s="659"/>
      <c r="M24" s="659"/>
      <c r="N24" s="659"/>
      <c r="O24" s="659"/>
      <c r="P24" s="659"/>
      <c r="Q24" s="659"/>
      <c r="R24" s="659"/>
      <c r="S24" s="659"/>
      <c r="T24" s="23"/>
      <c r="U24" s="723" t="s">
        <v>42</v>
      </c>
      <c r="V24" s="723"/>
      <c r="W24" s="23"/>
      <c r="X24" s="658" t="s">
        <v>12</v>
      </c>
      <c r="Y24" s="658"/>
      <c r="Z24" s="658"/>
      <c r="AA24" s="658"/>
      <c r="AB24" s="658"/>
      <c r="AC24" s="658"/>
      <c r="AD24" s="658"/>
      <c r="AE24" s="23"/>
      <c r="AF24" s="23"/>
      <c r="AG24" s="236" t="s">
        <v>13</v>
      </c>
      <c r="AH24" s="236"/>
      <c r="AI24" s="236"/>
      <c r="AJ24" s="236"/>
      <c r="AK24" s="204" t="s">
        <v>10</v>
      </c>
      <c r="AM24" s="23"/>
      <c r="AN24" s="658" t="s">
        <v>14</v>
      </c>
      <c r="AO24" s="658"/>
      <c r="AP24" s="658"/>
      <c r="AQ24" s="658"/>
      <c r="AR24" s="10"/>
      <c r="AS24" s="121"/>
      <c r="AT24" s="36"/>
    </row>
    <row r="25" spans="2:46" ht="30.75" customHeight="1">
      <c r="B25" s="88"/>
      <c r="C25" s="91"/>
      <c r="D25" s="101" t="s">
        <v>104</v>
      </c>
      <c r="E25" s="509" t="s">
        <v>98</v>
      </c>
      <c r="F25" s="510"/>
      <c r="G25" s="510"/>
      <c r="H25" s="511"/>
      <c r="I25" s="660"/>
      <c r="J25" s="661"/>
      <c r="K25" s="661"/>
      <c r="L25" s="661"/>
      <c r="M25" s="661"/>
      <c r="N25" s="661"/>
      <c r="O25" s="661"/>
      <c r="P25" s="661"/>
      <c r="Q25" s="661"/>
      <c r="R25" s="661"/>
      <c r="S25" s="662"/>
      <c r="T25" s="6"/>
      <c r="U25" s="686"/>
      <c r="V25" s="688"/>
      <c r="W25" s="6"/>
      <c r="X25" s="686"/>
      <c r="Y25" s="687"/>
      <c r="Z25" s="687"/>
      <c r="AA25" s="687"/>
      <c r="AB25" s="687"/>
      <c r="AC25" s="687"/>
      <c r="AD25" s="687"/>
      <c r="AE25" s="688"/>
      <c r="AF25" s="6"/>
      <c r="AG25" s="217"/>
      <c r="AH25" s="218"/>
      <c r="AI25" s="218"/>
      <c r="AJ25" s="218"/>
      <c r="AK25" s="191"/>
      <c r="AL25" s="192"/>
      <c r="AM25" s="23"/>
      <c r="AN25" s="686"/>
      <c r="AO25" s="687"/>
      <c r="AP25" s="687"/>
      <c r="AQ25" s="687"/>
      <c r="AR25" s="688"/>
      <c r="AS25" s="121"/>
      <c r="AT25" s="36"/>
    </row>
    <row r="26" spans="2:46" s="92" customFormat="1" ht="9" customHeight="1">
      <c r="B26" s="95"/>
      <c r="C26" s="99"/>
      <c r="D26" s="99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96"/>
      <c r="AT26" s="228"/>
    </row>
    <row r="27" spans="2:46" ht="24" customHeight="1">
      <c r="B27" s="719" t="s">
        <v>54</v>
      </c>
      <c r="C27" s="720"/>
      <c r="D27" s="720"/>
      <c r="E27" s="720"/>
      <c r="F27" s="720"/>
      <c r="G27" s="720"/>
      <c r="H27" s="720"/>
      <c r="I27" s="720"/>
      <c r="J27" s="720"/>
      <c r="K27" s="720"/>
      <c r="L27" s="720"/>
      <c r="M27" s="720"/>
      <c r="N27" s="720"/>
      <c r="O27" s="720"/>
      <c r="P27" s="720"/>
      <c r="Q27" s="720"/>
      <c r="R27" s="720"/>
      <c r="S27" s="720"/>
      <c r="T27" s="720"/>
      <c r="U27" s="720"/>
      <c r="V27" s="720"/>
      <c r="W27" s="720"/>
      <c r="X27" s="720"/>
      <c r="Y27" s="720"/>
      <c r="Z27" s="720"/>
      <c r="AA27" s="720"/>
      <c r="AB27" s="720"/>
      <c r="AC27" s="720"/>
      <c r="AD27" s="720"/>
      <c r="AE27" s="720"/>
      <c r="AF27" s="720"/>
      <c r="AG27" s="720"/>
      <c r="AH27" s="720"/>
      <c r="AI27" s="720"/>
      <c r="AJ27" s="720"/>
      <c r="AK27" s="720"/>
      <c r="AL27" s="720"/>
      <c r="AM27" s="720"/>
      <c r="AN27" s="720"/>
      <c r="AO27" s="720"/>
      <c r="AP27" s="720"/>
      <c r="AQ27" s="720"/>
      <c r="AR27" s="720"/>
      <c r="AS27" s="721"/>
      <c r="AT27" s="36"/>
    </row>
    <row r="28" spans="2:46" ht="3.75" customHeight="1">
      <c r="B28" s="88"/>
      <c r="C28" s="704"/>
      <c r="D28" s="704"/>
      <c r="E28" s="704"/>
      <c r="F28" s="704"/>
      <c r="G28" s="704"/>
      <c r="H28" s="199"/>
      <c r="I28" s="206"/>
      <c r="J28" s="115"/>
      <c r="K28" s="115"/>
      <c r="L28" s="199"/>
      <c r="M28" s="206"/>
      <c r="N28" s="115"/>
      <c r="O28" s="199"/>
      <c r="P28" s="206"/>
      <c r="Q28" s="115"/>
      <c r="S28" s="339"/>
      <c r="T28" s="148"/>
      <c r="U28" s="148"/>
      <c r="AO28" s="212"/>
      <c r="AP28" s="143"/>
      <c r="AR28" s="193"/>
      <c r="AS28" s="121"/>
      <c r="AT28" s="36"/>
    </row>
    <row r="29" spans="2:46" ht="18" customHeight="1">
      <c r="B29" s="88"/>
      <c r="C29" s="201" t="s">
        <v>31</v>
      </c>
      <c r="D29" s="200"/>
      <c r="E29" s="200"/>
      <c r="F29" s="200"/>
      <c r="G29" s="200"/>
      <c r="H29" s="148"/>
      <c r="I29" s="148"/>
      <c r="J29" s="148"/>
      <c r="K29" s="148"/>
      <c r="L29" s="148"/>
      <c r="M29" s="201" t="s">
        <v>146</v>
      </c>
      <c r="N29" s="155"/>
      <c r="P29" s="155"/>
      <c r="Q29" s="155"/>
      <c r="R29" s="201" t="s">
        <v>65</v>
      </c>
      <c r="S29" s="348"/>
      <c r="U29" s="348"/>
      <c r="V29" s="348"/>
      <c r="X29" s="201" t="s">
        <v>172</v>
      </c>
      <c r="AA29" s="342"/>
      <c r="AB29" s="342"/>
      <c r="AC29" s="342"/>
      <c r="AK29" s="339" t="s">
        <v>56</v>
      </c>
      <c r="AL29" s="339"/>
      <c r="AM29" s="339"/>
      <c r="AN29" s="148"/>
      <c r="AO29" s="148"/>
      <c r="AP29" s="148"/>
      <c r="AQ29" s="49"/>
      <c r="AR29" s="116"/>
      <c r="AS29" s="121"/>
      <c r="AT29" s="36"/>
    </row>
    <row r="30" spans="2:46" ht="28.5" customHeight="1">
      <c r="B30" s="88"/>
      <c r="C30" s="686"/>
      <c r="D30" s="687"/>
      <c r="E30" s="687"/>
      <c r="F30" s="687"/>
      <c r="G30" s="687"/>
      <c r="H30" s="687"/>
      <c r="I30" s="687"/>
      <c r="J30" s="687"/>
      <c r="K30" s="688"/>
      <c r="L30" s="193"/>
      <c r="M30" s="707"/>
      <c r="N30" s="708"/>
      <c r="O30" s="708"/>
      <c r="P30" s="709"/>
      <c r="R30" s="352" t="s">
        <v>64</v>
      </c>
      <c r="S30" s="710" t="s">
        <v>115</v>
      </c>
      <c r="T30" s="711"/>
      <c r="U30" s="711"/>
      <c r="V30" s="712"/>
      <c r="X30" s="190"/>
      <c r="Y30" s="201" t="s">
        <v>173</v>
      </c>
      <c r="Z30" s="198"/>
      <c r="AB30" s="190"/>
      <c r="AC30" s="235" t="s">
        <v>174</v>
      </c>
      <c r="AE30" s="190"/>
      <c r="AF30" s="235" t="s">
        <v>175</v>
      </c>
      <c r="AK30" s="686"/>
      <c r="AL30" s="687"/>
      <c r="AM30" s="687"/>
      <c r="AN30" s="687"/>
      <c r="AO30" s="687"/>
      <c r="AP30" s="687"/>
      <c r="AQ30" s="687"/>
      <c r="AR30" s="688"/>
      <c r="AS30" s="121"/>
      <c r="AT30" s="36"/>
    </row>
    <row r="31" spans="2:46" ht="17.25" customHeight="1">
      <c r="B31" s="88"/>
      <c r="C31" s="663" t="s">
        <v>152</v>
      </c>
      <c r="D31" s="663"/>
      <c r="E31" s="663"/>
      <c r="F31" s="663"/>
      <c r="G31" s="706" t="s">
        <v>147</v>
      </c>
      <c r="H31" s="706"/>
      <c r="I31" s="706"/>
      <c r="J31" s="706"/>
      <c r="K31" s="706"/>
      <c r="L31" s="706"/>
      <c r="M31" s="706"/>
      <c r="N31" s="706"/>
      <c r="O31" s="706"/>
      <c r="P31" s="706"/>
      <c r="Q31" s="706"/>
      <c r="R31" s="706"/>
      <c r="S31" s="706"/>
      <c r="T31" s="706"/>
      <c r="U31" s="706"/>
      <c r="V31" s="706"/>
      <c r="W31" s="706"/>
      <c r="X31" s="706"/>
      <c r="Y31" s="706"/>
      <c r="AL31" s="155"/>
      <c r="AM31" s="155"/>
      <c r="AN31" s="155"/>
      <c r="AO31" s="155"/>
      <c r="AP31" s="148"/>
      <c r="AQ31" s="148"/>
      <c r="AR31" s="148"/>
      <c r="AS31" s="121"/>
      <c r="AT31" s="36"/>
    </row>
    <row r="32" spans="2:46" ht="4.5" customHeight="1">
      <c r="B32" s="88"/>
      <c r="C32" s="234"/>
      <c r="D32" s="234"/>
      <c r="E32" s="234"/>
      <c r="F32" s="234"/>
      <c r="G32" s="234"/>
      <c r="H32" s="234"/>
      <c r="I32" s="234"/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154"/>
      <c r="W32" s="154"/>
      <c r="X32" s="154"/>
      <c r="Y32" s="154"/>
      <c r="Z32" s="154"/>
      <c r="AA32" s="154"/>
      <c r="AB32" s="154"/>
      <c r="AC32" s="154"/>
      <c r="AD32" s="155"/>
      <c r="AE32" s="155"/>
      <c r="AF32" s="155"/>
      <c r="AG32" s="10"/>
      <c r="AH32" s="155"/>
      <c r="AI32" s="155"/>
      <c r="AJ32" s="10"/>
      <c r="AK32" s="49"/>
      <c r="AL32" s="155"/>
      <c r="AM32" s="155"/>
      <c r="AN32" s="155"/>
      <c r="AO32" s="155"/>
      <c r="AP32" s="148"/>
      <c r="AQ32" s="148"/>
      <c r="AR32" s="148"/>
      <c r="AS32" s="121"/>
      <c r="AT32" s="36"/>
    </row>
    <row r="33" spans="2:46" ht="18.75" customHeight="1">
      <c r="B33" s="88"/>
      <c r="L33" s="234"/>
      <c r="M33" s="497" t="s">
        <v>63</v>
      </c>
      <c r="N33" s="498"/>
      <c r="O33" s="498"/>
      <c r="P33" s="498"/>
      <c r="Q33" s="498"/>
      <c r="R33" s="498"/>
      <c r="S33" s="498"/>
      <c r="T33" s="498"/>
      <c r="U33" s="498"/>
      <c r="V33" s="498"/>
      <c r="W33" s="498"/>
      <c r="X33" s="498"/>
      <c r="Y33" s="498"/>
      <c r="Z33" s="498"/>
      <c r="AA33" s="498"/>
      <c r="AB33" s="498"/>
      <c r="AC33" s="498"/>
      <c r="AD33" s="498"/>
      <c r="AE33" s="498"/>
      <c r="AF33" s="498"/>
      <c r="AG33" s="498"/>
      <c r="AH33" s="498"/>
      <c r="AI33" s="498"/>
      <c r="AJ33" s="498"/>
      <c r="AK33" s="498"/>
      <c r="AL33" s="498"/>
      <c r="AM33" s="498"/>
      <c r="AN33" s="498"/>
      <c r="AO33" s="498"/>
      <c r="AP33" s="499"/>
      <c r="AQ33" s="148"/>
      <c r="AR33" s="148"/>
      <c r="AS33" s="121"/>
      <c r="AT33" s="36"/>
    </row>
    <row r="34" spans="2:46" ht="3" customHeight="1">
      <c r="B34" s="88"/>
      <c r="L34" s="148"/>
      <c r="AQ34" s="148"/>
      <c r="AR34" s="148"/>
      <c r="AS34" s="121"/>
      <c r="AT34" s="36"/>
    </row>
    <row r="35" spans="2:46" ht="28.5" customHeight="1">
      <c r="B35" s="88"/>
      <c r="C35" s="441" t="s">
        <v>66</v>
      </c>
      <c r="D35" s="441"/>
      <c r="E35" s="441"/>
      <c r="F35" s="441"/>
      <c r="G35" s="441"/>
      <c r="H35" s="442"/>
      <c r="I35" s="470"/>
      <c r="J35" s="471"/>
      <c r="K35" s="43"/>
      <c r="L35" s="148"/>
      <c r="M35" s="441" t="s">
        <v>60</v>
      </c>
      <c r="N35" s="441"/>
      <c r="O35" s="441"/>
      <c r="P35" s="441"/>
      <c r="Q35" s="442"/>
      <c r="R35" s="194"/>
      <c r="S35" s="503" t="s">
        <v>59</v>
      </c>
      <c r="T35" s="443"/>
      <c r="U35" s="443"/>
      <c r="V35" s="443"/>
      <c r="W35" s="444"/>
      <c r="X35" s="190"/>
      <c r="Y35" s="192"/>
      <c r="Z35" s="201" t="s">
        <v>61</v>
      </c>
      <c r="AA35" s="201"/>
      <c r="AB35" s="201"/>
      <c r="AC35" s="212"/>
      <c r="AG35" s="191"/>
      <c r="AJ35" s="210"/>
      <c r="AK35" s="211"/>
      <c r="AL35" s="210"/>
      <c r="AM35" s="210"/>
      <c r="AN35" s="210"/>
      <c r="AP35" s="195"/>
      <c r="AS35" s="121"/>
      <c r="AT35" s="36"/>
    </row>
    <row r="36" spans="2:46" ht="6.9" customHeight="1">
      <c r="B36" s="88"/>
      <c r="C36" s="152"/>
      <c r="D36" s="152"/>
      <c r="E36" s="152"/>
      <c r="F36" s="42"/>
      <c r="G36" s="42"/>
      <c r="H36" s="42"/>
      <c r="I36" s="42"/>
      <c r="J36" s="42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54"/>
      <c r="V36" s="154"/>
      <c r="W36" s="154"/>
      <c r="X36" s="154"/>
      <c r="Y36" s="154"/>
      <c r="Z36" s="154"/>
      <c r="AA36" s="154"/>
      <c r="AB36" s="154"/>
      <c r="AC36" s="154"/>
      <c r="AD36" s="155"/>
      <c r="AE36" s="155"/>
      <c r="AF36" s="155"/>
      <c r="AG36" s="10"/>
      <c r="AH36" s="155"/>
      <c r="AI36" s="155"/>
      <c r="AJ36" s="10"/>
      <c r="AK36" s="49"/>
      <c r="AL36" s="155"/>
      <c r="AM36" s="155"/>
      <c r="AN36" s="155"/>
      <c r="AO36" s="155"/>
      <c r="AP36" s="148"/>
      <c r="AQ36" s="148"/>
      <c r="AR36" s="148"/>
      <c r="AS36" s="121"/>
      <c r="AT36" s="36"/>
    </row>
    <row r="37" spans="2:46" ht="15.75" customHeight="1">
      <c r="B37" s="88"/>
      <c r="D37" s="685" t="s">
        <v>155</v>
      </c>
      <c r="E37" s="685"/>
      <c r="F37" s="685"/>
      <c r="G37" s="685"/>
      <c r="H37" s="685"/>
      <c r="I37" s="685"/>
      <c r="J37" s="685"/>
      <c r="K37" s="685"/>
      <c r="L37" s="349"/>
      <c r="M37" s="349"/>
      <c r="N37" s="349"/>
      <c r="O37" s="349"/>
      <c r="P37" s="349"/>
      <c r="Z37" s="153"/>
      <c r="AA37" s="153"/>
      <c r="AB37" s="153"/>
      <c r="AC37" s="51"/>
      <c r="AD37" s="155"/>
      <c r="AE37" s="441"/>
      <c r="AF37" s="441"/>
      <c r="AG37" s="441"/>
      <c r="AH37" s="441"/>
      <c r="AI37" s="441"/>
      <c r="AJ37" s="441"/>
      <c r="AK37" s="441"/>
      <c r="AL37" s="441"/>
      <c r="AM37" s="441"/>
      <c r="AN37" s="441"/>
      <c r="AO37" s="441"/>
      <c r="AP37" s="219"/>
      <c r="AQ37" s="148"/>
      <c r="AR37" s="148"/>
      <c r="AS37" s="121"/>
      <c r="AT37" s="36"/>
    </row>
    <row r="38" spans="2:46" ht="2.25" customHeight="1">
      <c r="B38" s="88"/>
      <c r="C38" s="152"/>
      <c r="D38" s="154"/>
      <c r="E38" s="154"/>
      <c r="F38" s="154"/>
      <c r="G38" s="155"/>
      <c r="H38" s="155"/>
      <c r="I38" s="155"/>
      <c r="J38" s="155"/>
      <c r="K38" s="155"/>
      <c r="L38" s="43"/>
      <c r="M38" s="154"/>
      <c r="N38" s="154"/>
      <c r="O38" s="154"/>
      <c r="P38" s="154"/>
      <c r="Z38" s="154"/>
      <c r="AA38" s="154"/>
      <c r="AB38" s="154"/>
      <c r="AC38" s="154"/>
      <c r="AD38" s="155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54"/>
      <c r="AP38" s="154"/>
      <c r="AQ38" s="148"/>
      <c r="AR38" s="148"/>
      <c r="AS38" s="121"/>
      <c r="AT38" s="36"/>
    </row>
    <row r="39" spans="2:46" ht="25.5" customHeight="1">
      <c r="B39" s="88"/>
      <c r="C39" s="152"/>
      <c r="D39" s="17"/>
      <c r="E39" s="341" t="s">
        <v>69</v>
      </c>
      <c r="F39" s="341"/>
      <c r="G39" s="341"/>
      <c r="H39" s="341"/>
      <c r="I39" s="196">
        <v>0</v>
      </c>
      <c r="J39" s="198"/>
      <c r="K39" s="341" t="s">
        <v>28</v>
      </c>
      <c r="L39" s="341"/>
      <c r="M39" s="195" t="s">
        <v>11</v>
      </c>
      <c r="N39" s="340"/>
      <c r="O39" s="17"/>
      <c r="P39" s="154"/>
      <c r="Z39" s="154"/>
      <c r="AA39" s="154"/>
      <c r="AB39" s="154"/>
      <c r="AC39" s="154"/>
      <c r="AD39" s="155"/>
      <c r="AE39" s="504"/>
      <c r="AF39" s="504"/>
      <c r="AG39" s="504"/>
      <c r="AH39" s="504"/>
      <c r="AI39" s="504"/>
      <c r="AJ39" s="504"/>
      <c r="AK39" s="504"/>
      <c r="AL39" s="504"/>
      <c r="AM39" s="504"/>
      <c r="AN39" s="504"/>
      <c r="AO39" s="504"/>
      <c r="AP39" s="219"/>
      <c r="AQ39" s="148"/>
      <c r="AR39" s="148"/>
      <c r="AS39" s="121"/>
      <c r="AT39" s="36"/>
    </row>
    <row r="40" spans="2:46" ht="8.25" customHeight="1">
      <c r="B40" s="88"/>
      <c r="C40" s="152"/>
      <c r="D40" s="152"/>
      <c r="E40" s="152"/>
      <c r="F40" s="152"/>
      <c r="G40" s="152"/>
      <c r="H40" s="152"/>
      <c r="I40" s="42"/>
      <c r="J40" s="42"/>
      <c r="K40" s="148"/>
      <c r="L40" s="10"/>
      <c r="M40" s="17"/>
      <c r="N40" s="143"/>
      <c r="O40" s="143"/>
      <c r="P40" s="143"/>
      <c r="Q40" s="143"/>
      <c r="R40" s="126"/>
      <c r="S40" s="143"/>
      <c r="T40" s="143"/>
      <c r="U40" s="143"/>
      <c r="V40" s="143"/>
      <c r="W40" s="143"/>
      <c r="X40" s="17"/>
      <c r="Y40" s="154"/>
      <c r="Z40" s="154"/>
      <c r="AA40" s="154"/>
      <c r="AB40" s="154"/>
      <c r="AC40" s="154"/>
      <c r="AD40" s="155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54"/>
      <c r="AQ40" s="148"/>
      <c r="AR40" s="148"/>
      <c r="AS40" s="121"/>
      <c r="AT40" s="36"/>
    </row>
    <row r="41" spans="2:46" s="31" customFormat="1" ht="24" customHeight="1">
      <c r="B41" s="88"/>
      <c r="C41" s="175"/>
      <c r="D41" s="441" t="s">
        <v>148</v>
      </c>
      <c r="E41" s="441"/>
      <c r="F41" s="441"/>
      <c r="G41" s="441"/>
      <c r="H41" s="442"/>
      <c r="I41" s="309"/>
      <c r="J41" s="339" t="s">
        <v>149</v>
      </c>
      <c r="K41" s="140"/>
      <c r="L41" s="115"/>
      <c r="R41" s="317"/>
      <c r="S41" s="317"/>
      <c r="U41" s="205"/>
      <c r="V41" s="115"/>
      <c r="AE41" s="317"/>
      <c r="AF41" s="205"/>
      <c r="AG41" s="17"/>
      <c r="AH41" s="154"/>
      <c r="AI41" s="154"/>
      <c r="AJ41" s="154"/>
      <c r="AK41" s="155"/>
      <c r="AL41" s="143"/>
      <c r="AM41" s="143"/>
      <c r="AN41" s="143"/>
      <c r="AO41" s="143"/>
      <c r="AP41" s="143"/>
      <c r="AQ41" s="155"/>
      <c r="AR41" s="175"/>
      <c r="AS41" s="311"/>
    </row>
    <row r="42" spans="2:46" s="31" customFormat="1" ht="5.25" customHeight="1">
      <c r="B42" s="88"/>
      <c r="C42" s="175"/>
      <c r="D42" s="352"/>
      <c r="E42" s="352"/>
      <c r="F42" s="352"/>
      <c r="G42" s="352"/>
      <c r="H42" s="352"/>
      <c r="I42" s="317"/>
      <c r="J42" s="339"/>
      <c r="K42" s="140"/>
      <c r="L42" s="115"/>
      <c r="R42" s="318"/>
      <c r="S42" s="318"/>
      <c r="U42" s="205"/>
      <c r="V42" s="115"/>
      <c r="AE42" s="317"/>
      <c r="AF42" s="205"/>
      <c r="AG42" s="17"/>
      <c r="AH42" s="154"/>
      <c r="AI42" s="154"/>
      <c r="AJ42" s="154"/>
      <c r="AK42" s="155"/>
      <c r="AL42" s="143"/>
      <c r="AM42" s="143"/>
      <c r="AN42" s="143"/>
      <c r="AO42" s="143"/>
      <c r="AP42" s="143"/>
      <c r="AQ42" s="155"/>
      <c r="AR42" s="175"/>
      <c r="AS42" s="311"/>
    </row>
    <row r="43" spans="2:46" s="31" customFormat="1" ht="24" customHeight="1">
      <c r="B43" s="88"/>
      <c r="C43" s="175"/>
      <c r="D43" s="352"/>
      <c r="E43" s="352"/>
      <c r="F43" s="352"/>
      <c r="G43" s="352"/>
      <c r="H43" s="352"/>
      <c r="I43" s="310"/>
      <c r="J43" s="339" t="s">
        <v>151</v>
      </c>
      <c r="K43" s="140"/>
      <c r="L43" s="115"/>
      <c r="R43" s="318"/>
      <c r="S43" s="318"/>
      <c r="U43" s="205"/>
      <c r="V43" s="115"/>
      <c r="AE43" s="317"/>
      <c r="AF43" s="205"/>
      <c r="AG43" s="17"/>
      <c r="AH43" s="154"/>
      <c r="AI43" s="154"/>
      <c r="AJ43" s="154"/>
      <c r="AK43" s="155"/>
      <c r="AL43" s="143"/>
      <c r="AM43" s="143"/>
      <c r="AN43" s="143"/>
      <c r="AO43" s="143"/>
      <c r="AP43" s="143"/>
      <c r="AQ43" s="155"/>
      <c r="AR43" s="175"/>
      <c r="AS43" s="311"/>
    </row>
    <row r="44" spans="2:46" s="31" customFormat="1" ht="5.25" customHeight="1">
      <c r="B44" s="88"/>
      <c r="C44" s="175"/>
      <c r="D44" s="352"/>
      <c r="E44" s="352"/>
      <c r="F44" s="352"/>
      <c r="G44" s="352"/>
      <c r="H44" s="352"/>
      <c r="I44" s="317"/>
      <c r="J44" s="339"/>
      <c r="K44" s="140"/>
      <c r="L44" s="115"/>
      <c r="R44" s="318"/>
      <c r="S44" s="318"/>
      <c r="U44" s="205"/>
      <c r="V44" s="115"/>
      <c r="AE44" s="317"/>
      <c r="AF44" s="205"/>
      <c r="AG44" s="17"/>
      <c r="AH44" s="154"/>
      <c r="AI44" s="154"/>
      <c r="AJ44" s="154"/>
      <c r="AK44" s="155"/>
      <c r="AL44" s="143"/>
      <c r="AM44" s="143"/>
      <c r="AN44" s="143"/>
      <c r="AO44" s="143"/>
      <c r="AP44" s="143"/>
      <c r="AQ44" s="155"/>
      <c r="AR44" s="175"/>
      <c r="AS44" s="311"/>
    </row>
    <row r="45" spans="2:46" s="31" customFormat="1" ht="24" customHeight="1">
      <c r="B45" s="88"/>
      <c r="C45" s="175"/>
      <c r="D45" s="352"/>
      <c r="E45" s="352"/>
      <c r="F45" s="352"/>
      <c r="G45" s="352"/>
      <c r="H45" s="352"/>
      <c r="I45" s="310"/>
      <c r="J45" s="339" t="s">
        <v>150</v>
      </c>
      <c r="K45" s="140"/>
      <c r="L45" s="115"/>
      <c r="R45" s="318"/>
      <c r="S45" s="318"/>
      <c r="U45" s="205"/>
      <c r="V45" s="115"/>
      <c r="AE45" s="317"/>
      <c r="AF45" s="205"/>
      <c r="AG45" s="17"/>
      <c r="AH45" s="154"/>
      <c r="AI45" s="154"/>
      <c r="AJ45" s="154"/>
      <c r="AK45" s="155"/>
      <c r="AL45" s="143"/>
      <c r="AM45" s="143"/>
      <c r="AN45" s="143"/>
      <c r="AO45" s="143"/>
      <c r="AP45" s="143"/>
      <c r="AQ45" s="155"/>
      <c r="AR45" s="175"/>
      <c r="AS45" s="311"/>
    </row>
    <row r="46" spans="2:46" s="31" customFormat="1" ht="5.25" customHeight="1">
      <c r="B46" s="88"/>
      <c r="C46" s="175"/>
      <c r="D46" s="352"/>
      <c r="E46" s="352"/>
      <c r="F46" s="352"/>
      <c r="G46" s="352"/>
      <c r="H46" s="352"/>
      <c r="I46" s="317"/>
      <c r="J46" s="339"/>
      <c r="K46" s="140"/>
      <c r="L46" s="115"/>
      <c r="R46" s="318"/>
      <c r="S46" s="318"/>
      <c r="U46" s="205"/>
      <c r="V46" s="115"/>
      <c r="AE46" s="317"/>
      <c r="AF46" s="205"/>
      <c r="AG46" s="17"/>
      <c r="AH46" s="154"/>
      <c r="AI46" s="154"/>
      <c r="AJ46" s="154"/>
      <c r="AK46" s="155"/>
      <c r="AL46" s="143"/>
      <c r="AM46" s="143"/>
      <c r="AN46" s="143"/>
      <c r="AO46" s="143"/>
      <c r="AP46" s="143"/>
      <c r="AQ46" s="155"/>
      <c r="AR46" s="175"/>
      <c r="AS46" s="311"/>
    </row>
    <row r="47" spans="2:46" s="31" customFormat="1" ht="24" customHeight="1">
      <c r="B47" s="88"/>
      <c r="C47" s="175"/>
      <c r="D47" s="352"/>
      <c r="E47" s="352"/>
      <c r="F47" s="352"/>
      <c r="G47" s="352"/>
      <c r="H47" s="352"/>
      <c r="I47" s="309"/>
      <c r="J47" s="339" t="s">
        <v>215</v>
      </c>
      <c r="K47" s="140"/>
      <c r="L47" s="115"/>
      <c r="R47" s="318"/>
      <c r="S47" s="318"/>
      <c r="U47" s="205"/>
      <c r="V47" s="115"/>
      <c r="AB47" s="206"/>
      <c r="AE47" s="317"/>
      <c r="AF47" s="205"/>
      <c r="AG47" s="17"/>
      <c r="AH47" s="154"/>
      <c r="AI47" s="154"/>
      <c r="AJ47" s="154"/>
      <c r="AK47" s="155"/>
      <c r="AL47" s="143"/>
      <c r="AM47" s="143"/>
      <c r="AN47" s="143"/>
      <c r="AO47" s="143"/>
      <c r="AP47" s="143"/>
      <c r="AQ47" s="155"/>
      <c r="AR47" s="175"/>
      <c r="AS47" s="311"/>
    </row>
    <row r="48" spans="2:46" s="31" customFormat="1" ht="10.199999999999999" customHeight="1">
      <c r="B48" s="88"/>
      <c r="C48" s="175"/>
      <c r="D48" s="352"/>
      <c r="E48" s="352"/>
      <c r="F48" s="352"/>
      <c r="G48" s="352"/>
      <c r="H48" s="352"/>
      <c r="I48" s="318"/>
      <c r="J48" s="206"/>
      <c r="K48" s="115"/>
      <c r="L48" s="115"/>
      <c r="R48" s="318"/>
      <c r="S48" s="318"/>
      <c r="U48" s="205"/>
      <c r="V48" s="115"/>
      <c r="AE48" s="317"/>
      <c r="AF48" s="205"/>
      <c r="AG48" s="17"/>
      <c r="AH48" s="154"/>
      <c r="AI48" s="154"/>
      <c r="AJ48" s="154"/>
      <c r="AK48" s="155"/>
      <c r="AL48" s="143"/>
      <c r="AM48" s="143"/>
      <c r="AN48" s="143"/>
      <c r="AO48" s="143"/>
      <c r="AP48" s="143"/>
      <c r="AQ48" s="155"/>
      <c r="AR48" s="175"/>
      <c r="AS48" s="311"/>
    </row>
    <row r="49" spans="2:66" s="31" customFormat="1" ht="5.4" customHeight="1">
      <c r="B49" s="88"/>
      <c r="C49" s="175"/>
      <c r="D49" s="352"/>
      <c r="E49" s="352"/>
      <c r="F49" s="352"/>
      <c r="G49" s="352"/>
      <c r="H49" s="352"/>
      <c r="I49" s="318"/>
      <c r="J49" s="206"/>
      <c r="K49" s="115"/>
      <c r="L49" s="115"/>
      <c r="R49" s="318"/>
      <c r="S49" s="318"/>
      <c r="U49" s="205"/>
      <c r="V49" s="115"/>
      <c r="AE49" s="317"/>
      <c r="AF49" s="205"/>
      <c r="AG49" s="17"/>
      <c r="AH49" s="154"/>
      <c r="AI49" s="154"/>
      <c r="AJ49" s="154"/>
      <c r="AK49" s="155"/>
      <c r="AL49" s="143"/>
      <c r="AM49" s="143"/>
      <c r="AN49" s="143"/>
      <c r="AO49" s="143"/>
      <c r="AP49" s="143"/>
      <c r="AQ49" s="155"/>
      <c r="AR49" s="175"/>
      <c r="AS49" s="311"/>
    </row>
    <row r="50" spans="2:66" s="31" customFormat="1" ht="24" customHeight="1">
      <c r="B50" s="88"/>
      <c r="C50" s="175"/>
      <c r="D50" s="352"/>
      <c r="E50" s="352"/>
      <c r="F50" s="436" t="s">
        <v>70</v>
      </c>
      <c r="G50" s="436"/>
      <c r="H50" s="436"/>
      <c r="I50" s="436"/>
      <c r="J50" s="436"/>
      <c r="K50" s="436"/>
      <c r="L50" s="436"/>
      <c r="M50" s="436"/>
      <c r="N50" s="436"/>
      <c r="O50" s="436"/>
      <c r="P50" s="436"/>
      <c r="Q50" s="436"/>
      <c r="R50" s="436"/>
      <c r="S50" s="436"/>
      <c r="T50" s="436"/>
      <c r="U50" s="436"/>
      <c r="V50" s="436"/>
      <c r="W50" s="436"/>
      <c r="X50" s="436"/>
      <c r="Y50" s="436"/>
      <c r="Z50" s="436"/>
      <c r="AA50" s="436"/>
      <c r="AB50" s="436"/>
      <c r="AC50" s="436"/>
      <c r="AD50" s="436"/>
      <c r="AE50" s="436"/>
      <c r="AF50" s="456"/>
      <c r="AG50" s="456"/>
      <c r="AH50" s="456"/>
      <c r="AI50" s="357" t="s">
        <v>209</v>
      </c>
      <c r="AJ50" s="358"/>
      <c r="AK50" s="358"/>
      <c r="AL50" s="358"/>
      <c r="AM50" s="358"/>
      <c r="AN50" s="358"/>
      <c r="AO50" s="359"/>
      <c r="AP50" s="359"/>
      <c r="AQ50" s="375"/>
      <c r="AR50" s="175"/>
      <c r="AS50" s="311"/>
    </row>
    <row r="51" spans="2:66" s="31" customFormat="1" ht="24" customHeight="1">
      <c r="B51" s="88"/>
      <c r="C51" s="175"/>
      <c r="D51" s="352"/>
      <c r="E51" s="352"/>
      <c r="F51" s="705" t="s">
        <v>182</v>
      </c>
      <c r="G51" s="705"/>
      <c r="H51" s="705"/>
      <c r="I51" s="705"/>
      <c r="J51" s="705"/>
      <c r="K51" s="705"/>
      <c r="L51" s="705"/>
      <c r="M51" s="705"/>
      <c r="N51" s="705"/>
      <c r="O51" s="705"/>
      <c r="P51" s="705"/>
      <c r="Q51" s="705"/>
      <c r="R51" s="705"/>
      <c r="S51" s="705"/>
      <c r="T51" s="705"/>
      <c r="U51" s="705"/>
      <c r="V51" s="705"/>
      <c r="W51" s="705"/>
      <c r="X51" s="705"/>
      <c r="Y51" s="705"/>
      <c r="Z51" s="705"/>
      <c r="AA51" s="705"/>
      <c r="AB51" s="705"/>
      <c r="AC51" s="705"/>
      <c r="AD51" s="705"/>
      <c r="AE51" s="705"/>
      <c r="AF51" s="360"/>
      <c r="AG51" s="360"/>
      <c r="AH51" s="360"/>
      <c r="AI51" s="358" t="s">
        <v>212</v>
      </c>
      <c r="AJ51" s="361"/>
      <c r="AK51" s="361"/>
      <c r="AL51" s="407">
        <v>0.30555555555555558</v>
      </c>
      <c r="AM51" s="407"/>
      <c r="AN51" s="358" t="s">
        <v>210</v>
      </c>
      <c r="AO51" s="359"/>
      <c r="AP51" s="359"/>
      <c r="AQ51" s="375"/>
      <c r="AR51" s="175"/>
      <c r="AS51" s="311"/>
      <c r="BF51" s="422"/>
      <c r="BG51" s="422"/>
      <c r="BH51" s="422"/>
      <c r="BI51" s="422"/>
      <c r="BJ51" s="422"/>
      <c r="BK51" s="422"/>
      <c r="BL51" s="422"/>
      <c r="BM51" s="422"/>
      <c r="BN51" s="422"/>
    </row>
    <row r="52" spans="2:66" s="31" customFormat="1" ht="34.200000000000003" customHeight="1">
      <c r="B52" s="88"/>
      <c r="C52" s="175"/>
      <c r="D52" s="352"/>
      <c r="E52" s="352"/>
      <c r="F52" s="656" t="s">
        <v>183</v>
      </c>
      <c r="G52" s="656" t="s">
        <v>184</v>
      </c>
      <c r="H52" s="656"/>
      <c r="I52" s="656" t="s">
        <v>185</v>
      </c>
      <c r="J52" s="656"/>
      <c r="K52" s="656"/>
      <c r="L52" s="656"/>
      <c r="M52" s="656"/>
      <c r="N52" s="656" t="s">
        <v>122</v>
      </c>
      <c r="O52" s="656"/>
      <c r="P52" s="432" t="s">
        <v>186</v>
      </c>
      <c r="Q52" s="432"/>
      <c r="R52" s="432"/>
      <c r="S52" s="432"/>
      <c r="T52" s="436" t="s">
        <v>189</v>
      </c>
      <c r="U52" s="436"/>
      <c r="V52" s="436"/>
      <c r="W52" s="436"/>
      <c r="X52" s="436"/>
      <c r="Y52" s="436"/>
      <c r="Z52" s="436"/>
      <c r="AA52" s="436"/>
      <c r="AB52" s="436"/>
      <c r="AC52" s="436"/>
      <c r="AD52" s="436"/>
      <c r="AE52" s="436"/>
      <c r="AF52" s="360"/>
      <c r="AG52" s="360"/>
      <c r="AH52" s="360"/>
      <c r="AI52" s="358" t="s">
        <v>212</v>
      </c>
      <c r="AJ52" s="361"/>
      <c r="AK52" s="361"/>
      <c r="AL52" s="407">
        <v>1.8333333333333333</v>
      </c>
      <c r="AM52" s="407"/>
      <c r="AN52" s="358" t="s">
        <v>210</v>
      </c>
      <c r="AO52" s="359"/>
      <c r="AP52" s="359"/>
      <c r="AQ52" s="375"/>
      <c r="AR52" s="175"/>
      <c r="AS52" s="311"/>
      <c r="BF52" s="423" t="s">
        <v>187</v>
      </c>
      <c r="BG52" s="424"/>
      <c r="BH52" s="424" t="s">
        <v>188</v>
      </c>
      <c r="BI52" s="424"/>
      <c r="BJ52" s="424"/>
      <c r="BK52" s="424" t="s">
        <v>188</v>
      </c>
      <c r="BL52" s="424"/>
      <c r="BM52" s="424"/>
      <c r="BN52" s="427"/>
    </row>
    <row r="53" spans="2:66" s="31" customFormat="1" ht="29.4" customHeight="1">
      <c r="B53" s="88"/>
      <c r="C53" s="175"/>
      <c r="D53" s="352"/>
      <c r="E53" s="352"/>
      <c r="F53" s="656"/>
      <c r="G53" s="656"/>
      <c r="H53" s="656"/>
      <c r="I53" s="657" t="s">
        <v>122</v>
      </c>
      <c r="J53" s="657"/>
      <c r="K53" s="657"/>
      <c r="L53" s="657" t="s">
        <v>184</v>
      </c>
      <c r="M53" s="657"/>
      <c r="N53" s="656"/>
      <c r="O53" s="656"/>
      <c r="P53" s="432" t="s">
        <v>190</v>
      </c>
      <c r="Q53" s="432"/>
      <c r="R53" s="432" t="s">
        <v>191</v>
      </c>
      <c r="S53" s="432"/>
      <c r="T53" s="419" t="s">
        <v>188</v>
      </c>
      <c r="U53" s="419"/>
      <c r="V53" s="419"/>
      <c r="W53" s="419" t="s">
        <v>192</v>
      </c>
      <c r="X53" s="419"/>
      <c r="Y53" s="419"/>
      <c r="Z53" s="419" t="s">
        <v>193</v>
      </c>
      <c r="AA53" s="419"/>
      <c r="AB53" s="419"/>
      <c r="AC53" s="419" t="s">
        <v>194</v>
      </c>
      <c r="AD53" s="419"/>
      <c r="AE53" s="419"/>
      <c r="AF53" s="360"/>
      <c r="AG53" s="360"/>
      <c r="AH53" s="360"/>
      <c r="AI53" s="358" t="s">
        <v>213</v>
      </c>
      <c r="AJ53" s="361"/>
      <c r="AK53" s="361"/>
      <c r="AL53" s="407">
        <v>9.1666666666666661</v>
      </c>
      <c r="AM53" s="407"/>
      <c r="AN53" s="358" t="s">
        <v>210</v>
      </c>
      <c r="AO53" s="359"/>
      <c r="AP53" s="359"/>
      <c r="AQ53" s="375"/>
      <c r="AR53" s="175"/>
      <c r="AS53" s="311"/>
      <c r="BF53" s="423"/>
      <c r="BG53" s="424"/>
      <c r="BH53" s="424"/>
      <c r="BI53" s="424"/>
      <c r="BJ53" s="424"/>
      <c r="BK53" s="424"/>
      <c r="BL53" s="424"/>
      <c r="BM53" s="424"/>
      <c r="BN53" s="427"/>
    </row>
    <row r="54" spans="2:66" s="31" customFormat="1" ht="24" customHeight="1">
      <c r="B54" s="88"/>
      <c r="C54" s="175"/>
      <c r="D54" s="352"/>
      <c r="E54" s="352"/>
      <c r="F54" s="391" t="s">
        <v>195</v>
      </c>
      <c r="G54" s="410"/>
      <c r="H54" s="410"/>
      <c r="I54" s="410"/>
      <c r="J54" s="410"/>
      <c r="K54" s="410"/>
      <c r="L54" s="410"/>
      <c r="M54" s="410"/>
      <c r="N54" s="410"/>
      <c r="O54" s="410"/>
      <c r="P54" s="434">
        <f t="shared" ref="P54:P60" si="0">MOD(I54-G54,1)+MOD(N54-L54,1)</f>
        <v>0</v>
      </c>
      <c r="Q54" s="434"/>
      <c r="R54" s="413" t="str">
        <f t="shared" ref="R54:R60" si="1">IF(T54=0,"",P54+W54)</f>
        <v/>
      </c>
      <c r="S54" s="413"/>
      <c r="T54" s="421">
        <f t="shared" ref="T54:T60" si="2">IF(BH54=0,0,BF54-BH54)</f>
        <v>0</v>
      </c>
      <c r="U54" s="421"/>
      <c r="V54" s="421"/>
      <c r="W54" s="435">
        <f t="shared" ref="W54:W60" si="3">MOD(Z54-T54,1)</f>
        <v>0</v>
      </c>
      <c r="X54" s="435"/>
      <c r="Y54" s="435"/>
      <c r="Z54" s="435">
        <f t="shared" ref="Z54:Z60" si="4">T54/52.5*60</f>
        <v>0</v>
      </c>
      <c r="AA54" s="435"/>
      <c r="AB54" s="435"/>
      <c r="AC54" s="435" t="str">
        <f t="shared" ref="AC54:AC60" si="5">IF(T54=0,"",R54-Z54)</f>
        <v/>
      </c>
      <c r="AD54" s="435"/>
      <c r="AE54" s="435"/>
      <c r="AF54" s="361"/>
      <c r="AG54" s="357" t="s">
        <v>211</v>
      </c>
      <c r="AH54" s="361"/>
      <c r="AI54" s="361"/>
      <c r="AJ54" s="361"/>
      <c r="AK54" s="361"/>
      <c r="AL54" s="361"/>
      <c r="AM54" s="361"/>
      <c r="AN54" s="361"/>
      <c r="AO54" s="362"/>
      <c r="AP54" s="359"/>
      <c r="AQ54" s="375"/>
      <c r="AR54" s="175"/>
      <c r="AS54" s="311"/>
      <c r="BF54" s="425">
        <v>0.91666666666666696</v>
      </c>
      <c r="BG54" s="426"/>
      <c r="BH54" s="431">
        <f t="shared" ref="BH54:BH60" si="6">IF(N54&lt;=BF54,0,MOD(BF54-BK54,1))</f>
        <v>0</v>
      </c>
      <c r="BI54" s="425"/>
      <c r="BJ54" s="426"/>
      <c r="BK54" s="403">
        <f t="shared" ref="BK54:BK60" si="7">IF(P54=0,0,IF(I54&lt;=BF54,MOD(N54-BF54,1),MOD(N54-L54,1)+MOD(I54-BF54,1)))</f>
        <v>0</v>
      </c>
      <c r="BL54" s="404"/>
      <c r="BM54" s="404"/>
      <c r="BN54" s="405"/>
    </row>
    <row r="55" spans="2:66" s="31" customFormat="1" ht="24" customHeight="1">
      <c r="B55" s="88"/>
      <c r="C55" s="175"/>
      <c r="D55" s="352"/>
      <c r="E55" s="352"/>
      <c r="F55" s="391" t="s">
        <v>196</v>
      </c>
      <c r="G55" s="654"/>
      <c r="H55" s="655"/>
      <c r="I55" s="410"/>
      <c r="J55" s="410"/>
      <c r="K55" s="410"/>
      <c r="L55" s="410"/>
      <c r="M55" s="410"/>
      <c r="N55" s="410"/>
      <c r="O55" s="410"/>
      <c r="P55" s="434">
        <f t="shared" si="0"/>
        <v>0</v>
      </c>
      <c r="Q55" s="434"/>
      <c r="R55" s="413" t="str">
        <f t="shared" si="1"/>
        <v/>
      </c>
      <c r="S55" s="413"/>
      <c r="T55" s="421">
        <f t="shared" si="2"/>
        <v>0</v>
      </c>
      <c r="U55" s="421"/>
      <c r="V55" s="421"/>
      <c r="W55" s="435">
        <f t="shared" si="3"/>
        <v>0</v>
      </c>
      <c r="X55" s="435"/>
      <c r="Y55" s="435"/>
      <c r="Z55" s="435">
        <f t="shared" si="4"/>
        <v>0</v>
      </c>
      <c r="AA55" s="435"/>
      <c r="AB55" s="435"/>
      <c r="AC55" s="435" t="str">
        <f t="shared" si="5"/>
        <v/>
      </c>
      <c r="AD55" s="435"/>
      <c r="AE55" s="435"/>
      <c r="AF55" s="361"/>
      <c r="AG55" s="363" t="s">
        <v>214</v>
      </c>
      <c r="AH55" s="361"/>
      <c r="AI55" s="360"/>
      <c r="AJ55" s="358" t="s">
        <v>222</v>
      </c>
      <c r="AK55" s="358"/>
      <c r="AL55" s="361"/>
      <c r="AM55" s="361"/>
      <c r="AN55" s="361"/>
      <c r="AO55" s="362"/>
      <c r="AP55" s="359"/>
      <c r="AQ55" s="375"/>
      <c r="AR55" s="175"/>
      <c r="AS55" s="311"/>
      <c r="BF55" s="425">
        <v>0.91666666666666696</v>
      </c>
      <c r="BG55" s="426"/>
      <c r="BH55" s="431">
        <f t="shared" si="6"/>
        <v>0</v>
      </c>
      <c r="BI55" s="425"/>
      <c r="BJ55" s="426"/>
      <c r="BK55" s="403">
        <f t="shared" si="7"/>
        <v>0</v>
      </c>
      <c r="BL55" s="404"/>
      <c r="BM55" s="404"/>
      <c r="BN55" s="405"/>
    </row>
    <row r="56" spans="2:66" s="31" customFormat="1" ht="24" customHeight="1">
      <c r="B56" s="88"/>
      <c r="C56" s="175"/>
      <c r="D56" s="352"/>
      <c r="E56" s="352"/>
      <c r="F56" s="391" t="s">
        <v>197</v>
      </c>
      <c r="G56" s="654"/>
      <c r="H56" s="655"/>
      <c r="I56" s="410"/>
      <c r="J56" s="410"/>
      <c r="K56" s="410"/>
      <c r="L56" s="410"/>
      <c r="M56" s="410"/>
      <c r="N56" s="410"/>
      <c r="O56" s="410"/>
      <c r="P56" s="434">
        <f t="shared" si="0"/>
        <v>0</v>
      </c>
      <c r="Q56" s="434"/>
      <c r="R56" s="413" t="str">
        <f t="shared" si="1"/>
        <v/>
      </c>
      <c r="S56" s="413"/>
      <c r="T56" s="421">
        <f t="shared" si="2"/>
        <v>0</v>
      </c>
      <c r="U56" s="421"/>
      <c r="V56" s="421"/>
      <c r="W56" s="435">
        <f t="shared" si="3"/>
        <v>0</v>
      </c>
      <c r="X56" s="435"/>
      <c r="Y56" s="435"/>
      <c r="Z56" s="435">
        <f t="shared" si="4"/>
        <v>0</v>
      </c>
      <c r="AA56" s="435"/>
      <c r="AB56" s="435"/>
      <c r="AC56" s="435" t="str">
        <f t="shared" si="5"/>
        <v/>
      </c>
      <c r="AD56" s="435"/>
      <c r="AE56" s="435"/>
      <c r="AF56" s="361"/>
      <c r="AG56" s="361"/>
      <c r="AH56" s="361"/>
      <c r="AI56" s="358" t="s">
        <v>216</v>
      </c>
      <c r="AJ56" s="358"/>
      <c r="AK56" s="358"/>
      <c r="AL56" s="361"/>
      <c r="AM56" s="361"/>
      <c r="AN56" s="361"/>
      <c r="AO56" s="362"/>
      <c r="AP56" s="359"/>
      <c r="AQ56" s="375"/>
      <c r="AR56" s="175"/>
      <c r="AS56" s="311"/>
      <c r="BF56" s="425">
        <v>0.91666666666666696</v>
      </c>
      <c r="BG56" s="426"/>
      <c r="BH56" s="431">
        <f t="shared" si="6"/>
        <v>0</v>
      </c>
      <c r="BI56" s="425"/>
      <c r="BJ56" s="426"/>
      <c r="BK56" s="403">
        <f t="shared" si="7"/>
        <v>0</v>
      </c>
      <c r="BL56" s="404"/>
      <c r="BM56" s="404"/>
      <c r="BN56" s="405"/>
    </row>
    <row r="57" spans="2:66" s="31" customFormat="1" ht="24" customHeight="1">
      <c r="B57" s="88"/>
      <c r="C57" s="175"/>
      <c r="D57" s="352"/>
      <c r="E57" s="352"/>
      <c r="F57" s="391" t="s">
        <v>198</v>
      </c>
      <c r="G57" s="654"/>
      <c r="H57" s="655"/>
      <c r="I57" s="410"/>
      <c r="J57" s="410"/>
      <c r="K57" s="410"/>
      <c r="L57" s="410"/>
      <c r="M57" s="410"/>
      <c r="N57" s="410"/>
      <c r="O57" s="410"/>
      <c r="P57" s="434">
        <f t="shared" si="0"/>
        <v>0</v>
      </c>
      <c r="Q57" s="434"/>
      <c r="R57" s="413" t="str">
        <f t="shared" si="1"/>
        <v/>
      </c>
      <c r="S57" s="413"/>
      <c r="T57" s="421">
        <f t="shared" si="2"/>
        <v>0</v>
      </c>
      <c r="U57" s="421"/>
      <c r="V57" s="421"/>
      <c r="W57" s="435">
        <f t="shared" si="3"/>
        <v>0</v>
      </c>
      <c r="X57" s="435"/>
      <c r="Y57" s="435"/>
      <c r="Z57" s="435">
        <f t="shared" si="4"/>
        <v>0</v>
      </c>
      <c r="AA57" s="435"/>
      <c r="AB57" s="435"/>
      <c r="AC57" s="435" t="str">
        <f t="shared" si="5"/>
        <v/>
      </c>
      <c r="AD57" s="435"/>
      <c r="AE57" s="435"/>
      <c r="AF57" s="361"/>
      <c r="AG57" s="361"/>
      <c r="AH57" s="361"/>
      <c r="AI57" s="358" t="s">
        <v>217</v>
      </c>
      <c r="AJ57" s="358"/>
      <c r="AK57" s="358"/>
      <c r="AL57" s="361"/>
      <c r="AM57" s="361"/>
      <c r="AN57" s="361"/>
      <c r="AO57" s="362"/>
      <c r="AP57" s="359"/>
      <c r="AQ57" s="375"/>
      <c r="AR57" s="175"/>
      <c r="AS57" s="311"/>
      <c r="BF57" s="425">
        <v>0.91666666666666696</v>
      </c>
      <c r="BG57" s="426"/>
      <c r="BH57" s="431">
        <f t="shared" si="6"/>
        <v>0</v>
      </c>
      <c r="BI57" s="425"/>
      <c r="BJ57" s="426"/>
      <c r="BK57" s="403">
        <f t="shared" si="7"/>
        <v>0</v>
      </c>
      <c r="BL57" s="404"/>
      <c r="BM57" s="404"/>
      <c r="BN57" s="405"/>
    </row>
    <row r="58" spans="2:66" s="31" customFormat="1" ht="24" customHeight="1">
      <c r="B58" s="88"/>
      <c r="C58" s="175"/>
      <c r="D58" s="352"/>
      <c r="E58" s="352"/>
      <c r="F58" s="391" t="s">
        <v>199</v>
      </c>
      <c r="G58" s="654"/>
      <c r="H58" s="655"/>
      <c r="I58" s="410"/>
      <c r="J58" s="410"/>
      <c r="K58" s="410"/>
      <c r="L58" s="410"/>
      <c r="M58" s="410"/>
      <c r="N58" s="410"/>
      <c r="O58" s="410"/>
      <c r="P58" s="434">
        <f t="shared" si="0"/>
        <v>0</v>
      </c>
      <c r="Q58" s="434"/>
      <c r="R58" s="413" t="str">
        <f t="shared" si="1"/>
        <v/>
      </c>
      <c r="S58" s="413"/>
      <c r="T58" s="421">
        <f t="shared" si="2"/>
        <v>0</v>
      </c>
      <c r="U58" s="421"/>
      <c r="V58" s="421"/>
      <c r="W58" s="435">
        <f t="shared" si="3"/>
        <v>0</v>
      </c>
      <c r="X58" s="435"/>
      <c r="Y58" s="435"/>
      <c r="Z58" s="435">
        <f t="shared" si="4"/>
        <v>0</v>
      </c>
      <c r="AA58" s="435"/>
      <c r="AB58" s="435"/>
      <c r="AC58" s="435" t="str">
        <f t="shared" si="5"/>
        <v/>
      </c>
      <c r="AD58" s="435"/>
      <c r="AE58" s="435"/>
      <c r="AF58" s="361"/>
      <c r="AG58" s="361"/>
      <c r="AH58" s="361"/>
      <c r="AI58" s="358" t="s">
        <v>218</v>
      </c>
      <c r="AJ58" s="358"/>
      <c r="AK58" s="358"/>
      <c r="AL58" s="361"/>
      <c r="AM58" s="361"/>
      <c r="AN58" s="361"/>
      <c r="AO58" s="362"/>
      <c r="AP58" s="359"/>
      <c r="AQ58" s="375"/>
      <c r="AR58" s="175"/>
      <c r="AS58" s="311"/>
      <c r="BF58" s="425">
        <v>0.91666666666666696</v>
      </c>
      <c r="BG58" s="426"/>
      <c r="BH58" s="431">
        <f t="shared" si="6"/>
        <v>0</v>
      </c>
      <c r="BI58" s="425"/>
      <c r="BJ58" s="426"/>
      <c r="BK58" s="403">
        <f t="shared" si="7"/>
        <v>0</v>
      </c>
      <c r="BL58" s="404"/>
      <c r="BM58" s="404"/>
      <c r="BN58" s="405"/>
    </row>
    <row r="59" spans="2:66" s="31" customFormat="1" ht="24" customHeight="1">
      <c r="B59" s="88"/>
      <c r="C59" s="175"/>
      <c r="D59" s="352"/>
      <c r="E59" s="352"/>
      <c r="F59" s="391" t="s">
        <v>200</v>
      </c>
      <c r="G59" s="654"/>
      <c r="H59" s="655"/>
      <c r="I59" s="410"/>
      <c r="J59" s="410"/>
      <c r="K59" s="410"/>
      <c r="L59" s="410"/>
      <c r="M59" s="410"/>
      <c r="N59" s="410"/>
      <c r="O59" s="410"/>
      <c r="P59" s="434">
        <f t="shared" si="0"/>
        <v>0</v>
      </c>
      <c r="Q59" s="434"/>
      <c r="R59" s="413" t="str">
        <f t="shared" si="1"/>
        <v/>
      </c>
      <c r="S59" s="413"/>
      <c r="T59" s="421">
        <f t="shared" si="2"/>
        <v>0</v>
      </c>
      <c r="U59" s="421"/>
      <c r="V59" s="421"/>
      <c r="W59" s="435">
        <f t="shared" si="3"/>
        <v>0</v>
      </c>
      <c r="X59" s="435"/>
      <c r="Y59" s="435"/>
      <c r="Z59" s="435">
        <f t="shared" si="4"/>
        <v>0</v>
      </c>
      <c r="AA59" s="435"/>
      <c r="AB59" s="435"/>
      <c r="AC59" s="435" t="str">
        <f t="shared" si="5"/>
        <v/>
      </c>
      <c r="AD59" s="435"/>
      <c r="AE59" s="435"/>
      <c r="AF59" s="361"/>
      <c r="AG59" s="361"/>
      <c r="AH59" s="361"/>
      <c r="AI59" s="358" t="s">
        <v>219</v>
      </c>
      <c r="AJ59" s="358"/>
      <c r="AK59" s="358"/>
      <c r="AL59" s="361"/>
      <c r="AM59" s="361"/>
      <c r="AN59" s="361"/>
      <c r="AO59" s="362"/>
      <c r="AP59" s="359"/>
      <c r="AQ59" s="375"/>
      <c r="AR59" s="175"/>
      <c r="AS59" s="311"/>
      <c r="BF59" s="425">
        <v>0.91666666666666696</v>
      </c>
      <c r="BG59" s="426"/>
      <c r="BH59" s="431">
        <f t="shared" si="6"/>
        <v>0</v>
      </c>
      <c r="BI59" s="425"/>
      <c r="BJ59" s="426"/>
      <c r="BK59" s="403">
        <f t="shared" si="7"/>
        <v>0</v>
      </c>
      <c r="BL59" s="404"/>
      <c r="BM59" s="404"/>
      <c r="BN59" s="405"/>
    </row>
    <row r="60" spans="2:66" s="31" customFormat="1" ht="24" customHeight="1">
      <c r="B60" s="88"/>
      <c r="C60" s="175"/>
      <c r="D60" s="352"/>
      <c r="E60" s="352"/>
      <c r="F60" s="391" t="s">
        <v>201</v>
      </c>
      <c r="G60" s="410"/>
      <c r="H60" s="410"/>
      <c r="I60" s="410"/>
      <c r="J60" s="410"/>
      <c r="K60" s="410"/>
      <c r="L60" s="410"/>
      <c r="M60" s="410"/>
      <c r="N60" s="410"/>
      <c r="O60" s="410"/>
      <c r="P60" s="434">
        <f t="shared" si="0"/>
        <v>0</v>
      </c>
      <c r="Q60" s="434"/>
      <c r="R60" s="413" t="str">
        <f t="shared" si="1"/>
        <v/>
      </c>
      <c r="S60" s="413"/>
      <c r="T60" s="421">
        <f t="shared" si="2"/>
        <v>0</v>
      </c>
      <c r="U60" s="421"/>
      <c r="V60" s="421"/>
      <c r="W60" s="435">
        <f t="shared" si="3"/>
        <v>0</v>
      </c>
      <c r="X60" s="435"/>
      <c r="Y60" s="435"/>
      <c r="Z60" s="435">
        <f t="shared" si="4"/>
        <v>0</v>
      </c>
      <c r="AA60" s="435"/>
      <c r="AB60" s="435"/>
      <c r="AC60" s="435" t="str">
        <f t="shared" si="5"/>
        <v/>
      </c>
      <c r="AD60" s="435"/>
      <c r="AE60" s="435"/>
      <c r="AF60" s="361"/>
      <c r="AG60" s="361"/>
      <c r="AH60" s="361"/>
      <c r="AI60" s="358" t="s">
        <v>220</v>
      </c>
      <c r="AJ60" s="358"/>
      <c r="AK60" s="358"/>
      <c r="AL60" s="361"/>
      <c r="AM60" s="361"/>
      <c r="AN60" s="361"/>
      <c r="AO60" s="362"/>
      <c r="AP60" s="359"/>
      <c r="AQ60" s="375"/>
      <c r="AR60" s="175"/>
      <c r="AS60" s="311"/>
      <c r="BF60" s="425">
        <v>0.91666666666666696</v>
      </c>
      <c r="BG60" s="426"/>
      <c r="BH60" s="431">
        <f t="shared" si="6"/>
        <v>0</v>
      </c>
      <c r="BI60" s="425"/>
      <c r="BJ60" s="426"/>
      <c r="BK60" s="403">
        <f t="shared" si="7"/>
        <v>0</v>
      </c>
      <c r="BL60" s="404"/>
      <c r="BM60" s="404"/>
      <c r="BN60" s="405"/>
    </row>
    <row r="61" spans="2:66" s="31" customFormat="1" ht="24" customHeight="1">
      <c r="B61" s="88"/>
      <c r="C61" s="175"/>
      <c r="D61" s="352"/>
      <c r="E61" s="352"/>
      <c r="F61" s="396"/>
      <c r="G61" s="397"/>
      <c r="H61" s="397"/>
      <c r="I61" s="398" t="s">
        <v>202</v>
      </c>
      <c r="J61" s="398"/>
      <c r="K61" s="398"/>
      <c r="L61" s="397"/>
      <c r="M61" s="397"/>
      <c r="N61" s="397"/>
      <c r="O61" s="399"/>
      <c r="P61" s="653">
        <f>SUM(P54:P60)</f>
        <v>0</v>
      </c>
      <c r="Q61" s="653"/>
      <c r="R61" s="653">
        <f>SUM(R54:R60)</f>
        <v>0</v>
      </c>
      <c r="S61" s="653"/>
      <c r="T61" s="647">
        <f>SUM(T54:T60)</f>
        <v>0</v>
      </c>
      <c r="U61" s="647"/>
      <c r="V61" s="647"/>
      <c r="W61" s="435" t="str">
        <f>IF(T61=0,"",R61-P61)</f>
        <v/>
      </c>
      <c r="X61" s="435"/>
      <c r="Y61" s="435"/>
      <c r="Z61" s="647">
        <f>SUM(Z54:Z60)</f>
        <v>0</v>
      </c>
      <c r="AA61" s="647"/>
      <c r="AB61" s="647"/>
      <c r="AC61" s="647">
        <f>SUM(AC54:AC60)</f>
        <v>0</v>
      </c>
      <c r="AD61" s="647"/>
      <c r="AE61" s="647"/>
      <c r="AF61" s="361"/>
      <c r="AG61" s="361"/>
      <c r="AH61" s="361"/>
      <c r="AI61" s="358" t="s">
        <v>221</v>
      </c>
      <c r="AJ61" s="358"/>
      <c r="AK61" s="358"/>
      <c r="AL61" s="361"/>
      <c r="AM61" s="361"/>
      <c r="AN61" s="361"/>
      <c r="AO61" s="362"/>
      <c r="AP61" s="359"/>
      <c r="AQ61" s="375"/>
      <c r="AR61" s="175"/>
      <c r="AS61" s="311"/>
      <c r="BF61" s="429">
        <f>SUM(BF54:BF60)</f>
        <v>6.4166666666666687</v>
      </c>
      <c r="BG61" s="430"/>
      <c r="BH61" s="428">
        <f>SUM(BH54:BH60)</f>
        <v>0</v>
      </c>
      <c r="BI61" s="429"/>
      <c r="BJ61" s="430"/>
      <c r="BK61" s="416">
        <f>SUM(BK54:BK60)</f>
        <v>0</v>
      </c>
      <c r="BL61" s="417"/>
      <c r="BM61" s="417"/>
      <c r="BN61" s="418"/>
    </row>
    <row r="62" spans="2:66" s="31" customFormat="1" ht="14.4" customHeight="1">
      <c r="B62" s="88"/>
      <c r="C62" s="175"/>
      <c r="D62" s="352"/>
      <c r="E62" s="352"/>
      <c r="F62" s="365"/>
      <c r="G62" s="365"/>
      <c r="H62" s="365"/>
      <c r="I62" s="333"/>
      <c r="J62" s="334"/>
      <c r="K62" s="335"/>
      <c r="L62" s="335"/>
      <c r="M62" s="279"/>
      <c r="N62" s="279"/>
      <c r="O62" s="279"/>
      <c r="P62" s="279"/>
      <c r="Q62" s="279"/>
      <c r="R62" s="333"/>
      <c r="S62" s="333"/>
      <c r="T62" s="279"/>
      <c r="U62" s="334"/>
      <c r="V62" s="335"/>
      <c r="W62" s="279"/>
      <c r="X62" s="279"/>
      <c r="Y62" s="279"/>
      <c r="Z62" s="279"/>
      <c r="AA62" s="279"/>
      <c r="AB62" s="279"/>
      <c r="AC62" s="279"/>
      <c r="AD62" s="279"/>
      <c r="AE62" s="279"/>
      <c r="AF62" s="376"/>
      <c r="AG62" s="377"/>
      <c r="AH62" s="378"/>
      <c r="AI62" s="378"/>
      <c r="AJ62" s="378"/>
      <c r="AK62" s="375"/>
      <c r="AL62" s="359"/>
      <c r="AM62" s="359"/>
      <c r="AN62" s="359"/>
      <c r="AO62" s="359"/>
      <c r="AP62" s="359"/>
      <c r="AQ62" s="375"/>
      <c r="AR62" s="175"/>
      <c r="AS62" s="311"/>
    </row>
    <row r="63" spans="2:66" s="31" customFormat="1" ht="24" customHeight="1">
      <c r="B63" s="88"/>
      <c r="C63" s="175"/>
      <c r="D63" s="352"/>
      <c r="E63" s="379"/>
      <c r="F63" s="354"/>
      <c r="G63" s="355"/>
      <c r="H63" s="355"/>
      <c r="I63" s="356"/>
      <c r="J63" s="356"/>
      <c r="K63" s="356"/>
      <c r="L63" s="356"/>
      <c r="M63" s="406" t="s">
        <v>203</v>
      </c>
      <c r="N63" s="406"/>
      <c r="O63" s="406"/>
      <c r="P63" s="406" t="s">
        <v>204</v>
      </c>
      <c r="Q63" s="406"/>
      <c r="R63" s="406"/>
      <c r="S63" s="406"/>
      <c r="T63" s="406" t="s">
        <v>205</v>
      </c>
      <c r="U63" s="406"/>
      <c r="V63" s="406"/>
      <c r="W63" s="279"/>
      <c r="X63" s="279"/>
      <c r="Y63" s="279"/>
      <c r="Z63" s="279"/>
      <c r="AA63" s="279"/>
      <c r="AB63" s="279"/>
      <c r="AC63" s="279"/>
      <c r="AD63" s="279"/>
      <c r="AE63" s="279"/>
      <c r="AF63" s="205"/>
      <c r="AG63" s="17"/>
      <c r="AH63" s="154"/>
      <c r="AI63" s="154"/>
      <c r="AJ63" s="154"/>
      <c r="AK63" s="155"/>
      <c r="AL63" s="143"/>
      <c r="AM63" s="143"/>
      <c r="AN63" s="143"/>
      <c r="AO63" s="143"/>
      <c r="AP63" s="143"/>
      <c r="AQ63" s="155"/>
      <c r="AR63" s="175"/>
      <c r="AS63" s="311"/>
    </row>
    <row r="64" spans="2:66" s="31" customFormat="1" ht="20.399999999999999" customHeight="1">
      <c r="B64" s="88"/>
      <c r="C64" s="175"/>
      <c r="D64" s="352"/>
      <c r="E64" s="644" t="s">
        <v>206</v>
      </c>
      <c r="F64" s="645"/>
      <c r="G64" s="645"/>
      <c r="H64" s="645"/>
      <c r="I64" s="645"/>
      <c r="J64" s="645"/>
      <c r="K64" s="645"/>
      <c r="L64" s="646"/>
      <c r="M64" s="515">
        <f>P61</f>
        <v>0</v>
      </c>
      <c r="N64" s="515"/>
      <c r="O64" s="515"/>
      <c r="P64" s="516">
        <f>R61</f>
        <v>0</v>
      </c>
      <c r="Q64" s="516"/>
      <c r="R64" s="516"/>
      <c r="S64" s="516"/>
      <c r="T64" s="408" t="str">
        <f>IF(P64&lt;=AL52,"",P64-AL52)</f>
        <v/>
      </c>
      <c r="U64" s="409"/>
      <c r="V64" s="409"/>
      <c r="W64" s="279"/>
      <c r="X64" s="279"/>
      <c r="Y64" s="279"/>
      <c r="Z64" s="279"/>
      <c r="AA64" s="279"/>
      <c r="AB64" s="279"/>
      <c r="AC64" s="279"/>
      <c r="AD64" s="279"/>
      <c r="AE64" s="279"/>
      <c r="AF64" s="205"/>
      <c r="AG64" s="17"/>
      <c r="AH64" s="154"/>
      <c r="AI64" s="154"/>
      <c r="AJ64" s="154"/>
      <c r="AK64" s="155"/>
      <c r="AL64" s="143"/>
      <c r="AM64" s="143"/>
      <c r="AN64" s="143"/>
      <c r="AO64" s="143"/>
      <c r="AP64" s="143"/>
      <c r="AQ64" s="155"/>
      <c r="AR64" s="175"/>
      <c r="AS64" s="311"/>
    </row>
    <row r="65" spans="2:49" s="31" customFormat="1" ht="20.399999999999999" customHeight="1">
      <c r="B65" s="88"/>
      <c r="C65" s="175"/>
      <c r="D65" s="352"/>
      <c r="E65" s="644" t="s">
        <v>207</v>
      </c>
      <c r="F65" s="645"/>
      <c r="G65" s="645"/>
      <c r="H65" s="645"/>
      <c r="I65" s="645"/>
      <c r="J65" s="645"/>
      <c r="K65" s="645"/>
      <c r="L65" s="646"/>
      <c r="M65" s="515">
        <f>M64*5</f>
        <v>0</v>
      </c>
      <c r="N65" s="515"/>
      <c r="O65" s="515"/>
      <c r="P65" s="516">
        <f>P64*5</f>
        <v>0</v>
      </c>
      <c r="Q65" s="516"/>
      <c r="R65" s="516"/>
      <c r="S65" s="516"/>
      <c r="T65" s="408" t="str">
        <f>IF(P65&lt;=AL53,"",P65-AL53)</f>
        <v/>
      </c>
      <c r="U65" s="409"/>
      <c r="V65" s="409"/>
      <c r="W65" s="279"/>
      <c r="X65" s="279"/>
      <c r="Y65" s="279"/>
      <c r="Z65" s="279"/>
      <c r="AA65" s="279"/>
      <c r="AB65" s="279"/>
      <c r="AC65" s="279"/>
      <c r="AD65" s="279"/>
      <c r="AE65" s="279"/>
      <c r="AF65" s="205"/>
      <c r="AG65" s="17"/>
      <c r="AH65" s="154"/>
      <c r="AI65" s="154"/>
      <c r="AJ65" s="154"/>
      <c r="AK65" s="155"/>
      <c r="AL65" s="143"/>
      <c r="AM65" s="143"/>
      <c r="AN65" s="143"/>
      <c r="AO65" s="143"/>
      <c r="AP65" s="143"/>
      <c r="AQ65" s="155"/>
      <c r="AR65" s="175"/>
      <c r="AS65" s="311"/>
    </row>
    <row r="66" spans="2:49" s="31" customFormat="1" ht="20.399999999999999" customHeight="1">
      <c r="B66" s="88"/>
      <c r="C66" s="175"/>
      <c r="D66" s="352"/>
      <c r="E66" s="644" t="s">
        <v>223</v>
      </c>
      <c r="F66" s="645"/>
      <c r="G66" s="645"/>
      <c r="H66" s="645"/>
      <c r="I66" s="645"/>
      <c r="J66" s="645"/>
      <c r="K66" s="645"/>
      <c r="L66" s="646"/>
      <c r="M66" s="515">
        <f>M64/6</f>
        <v>0</v>
      </c>
      <c r="N66" s="515"/>
      <c r="O66" s="515"/>
      <c r="P66" s="516">
        <f>P64/6</f>
        <v>0</v>
      </c>
      <c r="Q66" s="516"/>
      <c r="R66" s="516"/>
      <c r="S66" s="516"/>
      <c r="T66" s="408" t="str">
        <f>IF(P66&lt;=AL51,"",P66-AL54)</f>
        <v/>
      </c>
      <c r="U66" s="409"/>
      <c r="V66" s="409"/>
      <c r="W66" s="279"/>
      <c r="X66" s="279"/>
      <c r="Y66" s="279"/>
      <c r="Z66" s="279"/>
      <c r="AA66" s="279"/>
      <c r="AB66" s="279"/>
      <c r="AC66" s="279"/>
      <c r="AD66" s="279"/>
      <c r="AE66" s="279"/>
      <c r="AF66" s="205"/>
      <c r="AG66" s="17"/>
      <c r="AH66" s="154"/>
      <c r="AI66" s="154"/>
      <c r="AJ66" s="154"/>
      <c r="AK66" s="155"/>
      <c r="AL66" s="143"/>
      <c r="AM66" s="143"/>
      <c r="AN66" s="143"/>
      <c r="AO66" s="143"/>
      <c r="AP66" s="143"/>
      <c r="AQ66" s="155"/>
      <c r="AR66" s="175"/>
      <c r="AS66" s="311"/>
    </row>
    <row r="67" spans="2:49" ht="19.2" customHeight="1">
      <c r="B67" s="88"/>
      <c r="C67" s="343"/>
      <c r="D67" s="343"/>
      <c r="E67" s="343"/>
      <c r="F67" s="343"/>
      <c r="G67" s="343"/>
      <c r="H67" s="351"/>
      <c r="I67" s="351"/>
      <c r="J67" s="351"/>
      <c r="K67" s="364"/>
      <c r="L67" s="364"/>
      <c r="M67" s="364"/>
      <c r="N67" s="364"/>
      <c r="O67" s="364"/>
      <c r="P67" s="364"/>
      <c r="Q67" s="364"/>
      <c r="R67" s="364"/>
      <c r="S67" s="366"/>
      <c r="U67" s="125"/>
      <c r="V67" s="207"/>
      <c r="W67" s="207"/>
      <c r="X67" s="207"/>
      <c r="Y67" s="207"/>
      <c r="Z67" s="208"/>
      <c r="AA67" s="208"/>
      <c r="AB67" s="208"/>
      <c r="AC67" s="208"/>
      <c r="AD67" s="208"/>
      <c r="AE67" s="208"/>
      <c r="AF67" s="208"/>
      <c r="AG67" s="208"/>
      <c r="AH67" s="208"/>
      <c r="AI67" s="208"/>
      <c r="AJ67" s="208"/>
      <c r="AK67" s="223"/>
      <c r="AL67" s="347"/>
      <c r="AM67" s="347"/>
      <c r="AN67" s="224"/>
      <c r="AO67" s="224"/>
      <c r="AS67" s="36"/>
      <c r="AT67" s="36"/>
      <c r="AW67" s="128"/>
    </row>
    <row r="68" spans="2:49" ht="17.399999999999999">
      <c r="B68" s="650" t="s">
        <v>229</v>
      </c>
      <c r="C68" s="651"/>
      <c r="D68" s="651"/>
      <c r="E68" s="651"/>
      <c r="F68" s="651"/>
      <c r="G68" s="651"/>
      <c r="H68" s="651"/>
      <c r="I68" s="651"/>
      <c r="J68" s="651"/>
      <c r="K68" s="651"/>
      <c r="L68" s="651"/>
      <c r="M68" s="651"/>
      <c r="N68" s="651"/>
      <c r="O68" s="651"/>
      <c r="P68" s="651"/>
      <c r="Q68" s="651"/>
      <c r="R68" s="651"/>
      <c r="S68" s="651"/>
      <c r="T68" s="651"/>
      <c r="U68" s="651"/>
      <c r="V68" s="651"/>
      <c r="W68" s="651"/>
      <c r="X68" s="651"/>
      <c r="Y68" s="651"/>
      <c r="Z68" s="651"/>
      <c r="AA68" s="651"/>
      <c r="AB68" s="651"/>
      <c r="AC68" s="651"/>
      <c r="AD68" s="651"/>
      <c r="AE68" s="651"/>
      <c r="AF68" s="651"/>
      <c r="AG68" s="651"/>
      <c r="AH68" s="651"/>
      <c r="AI68" s="651"/>
      <c r="AJ68" s="651"/>
      <c r="AK68" s="651"/>
      <c r="AL68" s="651"/>
      <c r="AM68" s="651"/>
      <c r="AN68" s="651"/>
      <c r="AO68" s="651"/>
      <c r="AP68" s="651"/>
      <c r="AQ68" s="651"/>
      <c r="AR68" s="651"/>
      <c r="AS68" s="652"/>
    </row>
    <row r="69" spans="2:49" ht="17.399999999999999">
      <c r="B69" s="650" t="s">
        <v>230</v>
      </c>
      <c r="C69" s="651"/>
      <c r="D69" s="651"/>
      <c r="E69" s="651"/>
      <c r="F69" s="651"/>
      <c r="G69" s="651"/>
      <c r="H69" s="651"/>
      <c r="I69" s="651"/>
      <c r="J69" s="651"/>
      <c r="K69" s="651"/>
      <c r="L69" s="651"/>
      <c r="M69" s="651"/>
      <c r="N69" s="651"/>
      <c r="O69" s="651"/>
      <c r="P69" s="651"/>
      <c r="Q69" s="651"/>
      <c r="R69" s="651"/>
      <c r="S69" s="651"/>
      <c r="T69" s="651"/>
      <c r="U69" s="651"/>
      <c r="V69" s="651"/>
      <c r="W69" s="651"/>
      <c r="X69" s="651"/>
      <c r="Y69" s="651"/>
      <c r="Z69" s="651"/>
      <c r="AA69" s="651"/>
      <c r="AB69" s="651"/>
      <c r="AC69" s="651"/>
      <c r="AD69" s="651"/>
      <c r="AE69" s="651"/>
      <c r="AF69" s="651"/>
      <c r="AG69" s="651"/>
      <c r="AH69" s="651"/>
      <c r="AI69" s="651"/>
      <c r="AJ69" s="651"/>
      <c r="AK69" s="651"/>
      <c r="AL69" s="651"/>
      <c r="AM69" s="651"/>
      <c r="AN69" s="651"/>
      <c r="AO69" s="651"/>
      <c r="AP69" s="651"/>
      <c r="AQ69" s="651"/>
      <c r="AR69" s="651"/>
      <c r="AS69" s="652"/>
    </row>
    <row r="70" spans="2:49">
      <c r="B70" s="106"/>
      <c r="C70" s="167"/>
      <c r="D70" s="167"/>
      <c r="E70" s="167"/>
      <c r="F70" s="167"/>
      <c r="G70" s="167"/>
      <c r="H70" s="167"/>
      <c r="I70" s="167"/>
      <c r="J70" s="167"/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7"/>
      <c r="AH70" s="167"/>
      <c r="AI70" s="167"/>
      <c r="AJ70" s="167"/>
      <c r="AK70" s="167"/>
      <c r="AL70" s="167"/>
      <c r="AM70" s="167"/>
      <c r="AN70" s="167"/>
      <c r="AO70" s="167"/>
      <c r="AP70" s="167"/>
      <c r="AQ70" s="167"/>
      <c r="AR70" s="167"/>
      <c r="AS70" s="168"/>
    </row>
    <row r="71" spans="2:49" ht="15.6">
      <c r="B71" s="88"/>
      <c r="C71" s="6"/>
      <c r="D71" s="367" t="s">
        <v>16</v>
      </c>
      <c r="E71" s="367"/>
      <c r="F71" s="367"/>
      <c r="G71" s="367"/>
      <c r="H71" s="367"/>
      <c r="I71" s="665"/>
      <c r="J71" s="666"/>
      <c r="K71" s="666"/>
      <c r="L71" s="666"/>
      <c r="M71" s="666"/>
      <c r="N71" s="667"/>
      <c r="O71" s="6" t="s">
        <v>162</v>
      </c>
      <c r="P71" s="665"/>
      <c r="Q71" s="666"/>
      <c r="R71" s="666"/>
      <c r="S71" s="667"/>
      <c r="U71" s="701" t="s">
        <v>224</v>
      </c>
      <c r="V71" s="701"/>
      <c r="W71" s="701"/>
      <c r="X71" s="701"/>
      <c r="Y71" s="702"/>
      <c r="Z71" s="648" t="s">
        <v>228</v>
      </c>
      <c r="AA71" s="649"/>
      <c r="AC71" s="367" t="s">
        <v>81</v>
      </c>
      <c r="AE71" s="367"/>
      <c r="AF71" s="367"/>
      <c r="AG71" s="367"/>
      <c r="AH71" s="367"/>
      <c r="AI71" s="367"/>
      <c r="AJ71" s="368"/>
      <c r="AL71" s="341" t="s">
        <v>82</v>
      </c>
      <c r="AM71" s="143"/>
      <c r="AN71" s="365"/>
      <c r="AO71" s="381" t="str">
        <f>IF(AJ71="","x","")</f>
        <v>x</v>
      </c>
      <c r="AP71" s="201" t="s">
        <v>83</v>
      </c>
      <c r="AS71" s="36"/>
    </row>
    <row r="72" spans="2:49" ht="15">
      <c r="B72" s="88"/>
      <c r="C72" s="46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6"/>
      <c r="Q72" s="6"/>
      <c r="R72" s="6"/>
      <c r="S72" s="6"/>
      <c r="T72" s="6"/>
      <c r="U72" s="6"/>
      <c r="V72" s="6"/>
      <c r="AR72" s="6"/>
      <c r="AS72" s="121"/>
    </row>
    <row r="73" spans="2:49" ht="15.6">
      <c r="B73" s="88"/>
      <c r="C73" s="6"/>
      <c r="I73" s="668" t="s">
        <v>164</v>
      </c>
      <c r="J73" s="668"/>
      <c r="K73" s="668"/>
      <c r="N73" s="700" t="s">
        <v>165</v>
      </c>
      <c r="O73" s="700"/>
      <c r="P73" s="700"/>
      <c r="Q73" s="700"/>
      <c r="R73" s="700"/>
      <c r="T73" s="700" t="s">
        <v>166</v>
      </c>
      <c r="U73" s="700"/>
      <c r="V73" s="700"/>
      <c r="W73" s="700"/>
      <c r="X73" s="700"/>
      <c r="Y73" s="125"/>
      <c r="Z73" s="6"/>
      <c r="AA73" s="6"/>
      <c r="AB73" s="6"/>
      <c r="AC73" s="367" t="s">
        <v>225</v>
      </c>
      <c r="AJ73" s="368"/>
      <c r="AL73" s="212" t="s">
        <v>226</v>
      </c>
      <c r="AS73" s="36"/>
    </row>
    <row r="74" spans="2:49" ht="15.6">
      <c r="B74" s="88"/>
      <c r="C74" s="6"/>
      <c r="D74" s="367" t="s">
        <v>106</v>
      </c>
      <c r="E74" s="367"/>
      <c r="F74" s="367"/>
      <c r="G74" s="367"/>
      <c r="H74" s="367"/>
      <c r="I74" s="689" t="str">
        <f>IF(Z71="","",IF(AJ71="X",Z71-I77,Z71))</f>
        <v>30</v>
      </c>
      <c r="J74" s="690"/>
      <c r="K74" s="691"/>
      <c r="L74" s="201" t="s">
        <v>161</v>
      </c>
      <c r="M74" s="125"/>
      <c r="N74" s="665"/>
      <c r="O74" s="666"/>
      <c r="P74" s="666"/>
      <c r="Q74" s="666"/>
      <c r="R74" s="667"/>
      <c r="S74" s="369" t="s">
        <v>163</v>
      </c>
      <c r="T74" s="697" t="str">
        <f>IF(N74="","",IF(I74="","",N74+I74-1))</f>
        <v/>
      </c>
      <c r="U74" s="698"/>
      <c r="V74" s="698"/>
      <c r="W74" s="698"/>
      <c r="X74" s="699"/>
      <c r="Y74" s="125"/>
      <c r="Z74" s="6"/>
      <c r="AA74" s="6"/>
      <c r="AB74" s="6"/>
      <c r="AJ74" s="380" t="str">
        <f>IF(AJ71="","",IF(AJ73="","x",""))</f>
        <v/>
      </c>
      <c r="AL74" s="212" t="s">
        <v>227</v>
      </c>
      <c r="AQ74" s="6"/>
      <c r="AR74" s="6"/>
      <c r="AS74" s="121"/>
    </row>
    <row r="75" spans="2:49">
      <c r="B75" s="88"/>
      <c r="C75" s="6"/>
      <c r="D75" s="367"/>
      <c r="E75" s="367"/>
      <c r="F75" s="367"/>
      <c r="G75" s="367"/>
      <c r="H75" s="367"/>
      <c r="I75" s="370"/>
      <c r="J75" s="370"/>
      <c r="K75" s="370"/>
      <c r="L75" s="367"/>
      <c r="M75" s="125"/>
      <c r="N75" s="353"/>
      <c r="O75" s="353"/>
      <c r="P75" s="353"/>
      <c r="Q75" s="353"/>
      <c r="R75" s="353"/>
      <c r="S75" s="371"/>
      <c r="T75" s="227"/>
      <c r="U75" s="227"/>
      <c r="V75" s="227"/>
      <c r="W75" s="227"/>
      <c r="X75" s="227"/>
      <c r="Y75" s="125"/>
      <c r="Z75" s="6"/>
      <c r="AA75" s="6"/>
      <c r="AB75" s="6"/>
      <c r="AK75" s="6"/>
      <c r="AP75" s="6"/>
      <c r="AQ75" s="6"/>
      <c r="AR75" s="6"/>
      <c r="AS75" s="121"/>
    </row>
    <row r="76" spans="2:49">
      <c r="B76" s="88"/>
      <c r="C76" s="6"/>
      <c r="D76" s="125"/>
      <c r="E76" s="125"/>
      <c r="F76" s="125"/>
      <c r="G76" s="125"/>
      <c r="H76" s="125"/>
      <c r="I76" s="668" t="s">
        <v>164</v>
      </c>
      <c r="J76" s="668"/>
      <c r="K76" s="668"/>
      <c r="N76" s="700" t="s">
        <v>169</v>
      </c>
      <c r="O76" s="700"/>
      <c r="P76" s="700"/>
      <c r="Q76" s="700"/>
      <c r="R76" s="700"/>
      <c r="T76" s="700" t="s">
        <v>170</v>
      </c>
      <c r="U76" s="700"/>
      <c r="V76" s="700"/>
      <c r="W76" s="700"/>
      <c r="X76" s="700"/>
      <c r="Y76" s="125"/>
      <c r="Z76" s="6"/>
      <c r="AA76" s="6"/>
      <c r="AB76" s="6"/>
      <c r="AK76" s="664"/>
      <c r="AL76" s="664"/>
      <c r="AM76" s="664"/>
      <c r="AN76" s="664"/>
      <c r="AO76" s="664"/>
      <c r="AP76" s="664"/>
      <c r="AQ76" s="664"/>
      <c r="AR76" s="6"/>
      <c r="AS76" s="121"/>
    </row>
    <row r="77" spans="2:49" ht="15.6">
      <c r="B77" s="88"/>
      <c r="C77" s="6"/>
      <c r="D77" s="367" t="s">
        <v>167</v>
      </c>
      <c r="I77" s="689" t="str">
        <f>IF(AJ71="X",Z71/3,"")</f>
        <v/>
      </c>
      <c r="J77" s="690"/>
      <c r="K77" s="691"/>
      <c r="L77" s="201" t="s">
        <v>161</v>
      </c>
      <c r="M77" s="143"/>
      <c r="N77" s="697" t="str">
        <f>IF(I77="","",IF(AJ73="x",N74-I77,T74+1))</f>
        <v/>
      </c>
      <c r="O77" s="698"/>
      <c r="P77" s="698"/>
      <c r="Q77" s="698"/>
      <c r="R77" s="699"/>
      <c r="S77" s="369" t="s">
        <v>163</v>
      </c>
      <c r="T77" s="697" t="str">
        <f>IF(N77="","",IF(I77="","",N77+I77-1))</f>
        <v/>
      </c>
      <c r="U77" s="698"/>
      <c r="V77" s="698"/>
      <c r="W77" s="698"/>
      <c r="X77" s="699"/>
      <c r="AR77" s="6"/>
      <c r="AS77" s="121"/>
    </row>
    <row r="78" spans="2:49" ht="13.8" thickBot="1">
      <c r="B78" s="372"/>
      <c r="C78" s="373"/>
      <c r="D78" s="373"/>
      <c r="E78" s="373"/>
      <c r="F78" s="373"/>
      <c r="G78" s="373"/>
      <c r="H78" s="373"/>
      <c r="I78" s="373"/>
      <c r="J78" s="373"/>
      <c r="K78" s="373"/>
      <c r="L78" s="373"/>
      <c r="M78" s="373"/>
      <c r="N78" s="373"/>
      <c r="O78" s="373"/>
      <c r="P78" s="373"/>
      <c r="Q78" s="373"/>
      <c r="R78" s="373"/>
      <c r="S78" s="373"/>
      <c r="T78" s="373"/>
      <c r="U78" s="373"/>
      <c r="V78" s="373"/>
      <c r="W78" s="373"/>
      <c r="X78" s="373"/>
      <c r="Y78" s="373"/>
      <c r="Z78" s="373"/>
      <c r="AA78" s="373"/>
      <c r="AB78" s="373"/>
      <c r="AC78" s="373"/>
      <c r="AD78" s="373"/>
      <c r="AE78" s="373"/>
      <c r="AF78" s="373"/>
      <c r="AG78" s="373"/>
      <c r="AH78" s="373"/>
      <c r="AI78" s="373"/>
      <c r="AJ78" s="373"/>
      <c r="AK78" s="373"/>
      <c r="AL78" s="373"/>
      <c r="AM78" s="373"/>
      <c r="AN78" s="373"/>
      <c r="AO78" s="373"/>
      <c r="AP78" s="373"/>
      <c r="AQ78" s="373"/>
      <c r="AR78" s="373"/>
      <c r="AS78" s="374"/>
    </row>
    <row r="79" spans="2:49" ht="6.75" customHeight="1" thickTop="1">
      <c r="B79" s="175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175"/>
    </row>
    <row r="80" spans="2:49" ht="26.25" customHeight="1">
      <c r="B80" s="722" t="s">
        <v>23</v>
      </c>
      <c r="C80" s="722"/>
      <c r="D80" s="722"/>
      <c r="E80" s="722"/>
      <c r="F80" s="722"/>
      <c r="G80" s="722"/>
      <c r="H80" s="722"/>
      <c r="I80" s="722"/>
      <c r="J80" s="722"/>
      <c r="K80" s="722"/>
      <c r="L80" s="722"/>
      <c r="M80" s="722"/>
      <c r="N80" s="722"/>
      <c r="O80" s="722"/>
      <c r="P80" s="722"/>
      <c r="Q80" s="722"/>
      <c r="R80" s="722"/>
      <c r="S80" s="722"/>
      <c r="T80" s="722"/>
      <c r="U80" s="722"/>
      <c r="V80" s="722"/>
      <c r="W80" s="722"/>
      <c r="X80" s="722"/>
      <c r="Y80" s="722"/>
      <c r="Z80" s="722"/>
      <c r="AA80" s="722"/>
      <c r="AB80" s="722"/>
      <c r="AC80" s="722"/>
      <c r="AD80" s="722"/>
      <c r="AE80" s="722"/>
      <c r="AF80" s="722"/>
      <c r="AG80" s="722"/>
      <c r="AH80" s="722"/>
      <c r="AI80" s="722"/>
      <c r="AJ80" s="722"/>
      <c r="AK80" s="722"/>
      <c r="AL80" s="722"/>
      <c r="AM80" s="722"/>
      <c r="AN80" s="722"/>
      <c r="AO80" s="722"/>
      <c r="AP80" s="722"/>
      <c r="AQ80" s="722"/>
      <c r="AR80" s="722"/>
      <c r="AS80" s="722"/>
    </row>
    <row r="81" spans="2:55" ht="6.9" customHeight="1">
      <c r="B81" s="106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  <c r="AA81" s="169"/>
      <c r="AB81" s="169"/>
      <c r="AC81" s="169"/>
      <c r="AD81" s="169"/>
      <c r="AE81" s="169"/>
      <c r="AF81" s="169"/>
      <c r="AG81" s="169"/>
      <c r="AH81" s="169"/>
      <c r="AI81" s="169"/>
      <c r="AJ81" s="169"/>
      <c r="AK81" s="169"/>
      <c r="AL81" s="169"/>
      <c r="AM81" s="169"/>
      <c r="AN81" s="169"/>
      <c r="AO81" s="169"/>
      <c r="AP81" s="169"/>
      <c r="AQ81" s="169"/>
      <c r="AR81" s="170"/>
      <c r="AS81" s="171"/>
    </row>
    <row r="82" spans="2:55" ht="19.5" customHeight="1">
      <c r="B82" s="88"/>
      <c r="C82" s="703" t="s">
        <v>84</v>
      </c>
      <c r="D82" s="703"/>
      <c r="E82" s="703"/>
      <c r="F82" s="703"/>
      <c r="G82" s="703"/>
      <c r="H82" s="703"/>
      <c r="I82" s="703"/>
      <c r="J82" s="703"/>
      <c r="K82" s="703"/>
      <c r="L82" s="140"/>
      <c r="M82" s="140"/>
      <c r="N82" s="100"/>
      <c r="P82" s="231" t="s">
        <v>168</v>
      </c>
      <c r="Q82" s="180"/>
      <c r="R82" s="180"/>
      <c r="S82" s="180"/>
      <c r="T82" s="180"/>
      <c r="U82" s="180"/>
      <c r="V82" s="180"/>
      <c r="W82" s="180"/>
      <c r="X82" s="180"/>
      <c r="Y82" s="100"/>
      <c r="Z82" s="100"/>
      <c r="AA82" s="100"/>
      <c r="AB82" s="100"/>
      <c r="AC82" s="100"/>
      <c r="AD82" s="100"/>
      <c r="AE82" s="703" t="s">
        <v>88</v>
      </c>
      <c r="AF82" s="703"/>
      <c r="AG82" s="703"/>
      <c r="AH82" s="703"/>
      <c r="AI82" s="703"/>
      <c r="AJ82" s="703"/>
      <c r="AK82" s="703"/>
      <c r="AL82" s="703"/>
      <c r="AM82" s="703"/>
      <c r="AN82" s="703"/>
      <c r="AO82" s="703"/>
      <c r="AP82" s="703"/>
      <c r="AQ82" s="703"/>
      <c r="AR82" s="703"/>
      <c r="AS82" s="121"/>
      <c r="AY82" s="576" t="s">
        <v>115</v>
      </c>
      <c r="AZ82" s="576"/>
      <c r="BA82" s="576"/>
      <c r="BB82" s="576"/>
      <c r="BC82" s="576"/>
    </row>
    <row r="83" spans="2:55" ht="6.9" customHeight="1">
      <c r="B83" s="88"/>
      <c r="C83" s="143"/>
      <c r="D83" s="143"/>
      <c r="E83" s="143"/>
      <c r="F83" s="143"/>
      <c r="G83" s="143"/>
      <c r="H83" s="143"/>
      <c r="I83" s="143"/>
      <c r="J83" s="143"/>
      <c r="K83" s="143"/>
      <c r="L83" s="140"/>
      <c r="M83" s="140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0"/>
      <c r="Z83" s="140"/>
      <c r="AA83" s="140"/>
      <c r="AB83" s="140"/>
      <c r="AC83" s="140"/>
      <c r="AD83" s="140"/>
      <c r="AE83" s="140"/>
      <c r="AF83" s="140"/>
      <c r="AG83" s="140"/>
      <c r="AH83" s="140"/>
      <c r="AI83" s="140"/>
      <c r="AJ83" s="140"/>
      <c r="AK83" s="140"/>
      <c r="AL83" s="140"/>
      <c r="AM83" s="140"/>
      <c r="AN83" s="140"/>
      <c r="AO83" s="140"/>
      <c r="AP83" s="140"/>
      <c r="AQ83" s="140"/>
      <c r="AR83" s="140"/>
      <c r="AS83" s="121"/>
    </row>
    <row r="84" spans="2:55" ht="24.75" customHeight="1">
      <c r="B84" s="88"/>
      <c r="C84" s="157"/>
      <c r="D84" s="233"/>
      <c r="E84" s="672" t="s">
        <v>171</v>
      </c>
      <c r="F84" s="673"/>
      <c r="G84" s="673"/>
      <c r="H84" s="673"/>
      <c r="I84" s="673"/>
      <c r="J84" s="673"/>
      <c r="K84" s="673"/>
      <c r="L84" s="140"/>
      <c r="M84" s="140"/>
      <c r="N84" s="89"/>
      <c r="O84" s="89"/>
      <c r="P84" s="482" t="s">
        <v>232</v>
      </c>
      <c r="Q84" s="484"/>
      <c r="R84" s="554" t="s">
        <v>18</v>
      </c>
      <c r="S84" s="577"/>
      <c r="T84" s="233"/>
      <c r="U84" s="89" t="s">
        <v>19</v>
      </c>
      <c r="V84" s="89"/>
      <c r="W84" s="89"/>
      <c r="X84" s="140"/>
      <c r="Y84" s="89"/>
      <c r="Z84" s="89"/>
      <c r="AA84" s="89"/>
      <c r="AB84" s="89"/>
      <c r="AC84" s="89"/>
      <c r="AD84" s="89"/>
      <c r="AE84" s="89"/>
      <c r="AF84" s="89"/>
      <c r="AG84" s="556" t="s">
        <v>89</v>
      </c>
      <c r="AH84" s="556"/>
      <c r="AI84" s="556"/>
      <c r="AJ84" s="556"/>
      <c r="AK84" s="556"/>
      <c r="AL84" s="560">
        <f>IF(T86="","",IF(P84="",T86,T86+W88))</f>
        <v>45995</v>
      </c>
      <c r="AM84" s="561"/>
      <c r="AN84" s="561"/>
      <c r="AO84" s="562"/>
      <c r="AP84" s="123"/>
      <c r="AQ84" s="123"/>
      <c r="AR84" s="123"/>
      <c r="AS84" s="172"/>
    </row>
    <row r="85" spans="2:55" ht="6.9" customHeight="1">
      <c r="B85" s="88"/>
      <c r="C85" s="140"/>
      <c r="D85" s="339"/>
      <c r="E85" s="350"/>
      <c r="F85" s="350"/>
      <c r="G85" s="350"/>
      <c r="H85" s="350"/>
      <c r="I85" s="350"/>
      <c r="J85" s="350"/>
      <c r="K85" s="35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  <c r="AA85" s="140"/>
      <c r="AB85" s="140"/>
      <c r="AC85" s="140"/>
      <c r="AD85" s="140"/>
      <c r="AE85" s="140"/>
      <c r="AF85" s="140"/>
      <c r="AG85" s="140"/>
      <c r="AH85" s="140"/>
      <c r="AI85" s="140"/>
      <c r="AJ85" s="140"/>
      <c r="AK85" s="140"/>
      <c r="AL85" s="140"/>
      <c r="AM85" s="140"/>
      <c r="AN85" s="140"/>
      <c r="AO85" s="140"/>
      <c r="AP85" s="140"/>
      <c r="AQ85" s="140"/>
      <c r="AR85" s="140"/>
      <c r="AS85" s="121"/>
    </row>
    <row r="86" spans="2:55" ht="24.75" customHeight="1">
      <c r="B86" s="88"/>
      <c r="C86" s="157"/>
      <c r="D86" s="233"/>
      <c r="E86" s="672" t="s">
        <v>86</v>
      </c>
      <c r="F86" s="673"/>
      <c r="G86" s="673"/>
      <c r="H86" s="673"/>
      <c r="I86" s="673"/>
      <c r="J86" s="673"/>
      <c r="K86" s="673"/>
      <c r="L86" s="140"/>
      <c r="M86" s="140"/>
      <c r="N86" s="89"/>
      <c r="O86" s="89"/>
      <c r="P86" s="556" t="s">
        <v>133</v>
      </c>
      <c r="Q86" s="556"/>
      <c r="R86" s="556"/>
      <c r="S86" s="556"/>
      <c r="T86" s="680">
        <v>45965</v>
      </c>
      <c r="U86" s="681"/>
      <c r="V86" s="681"/>
      <c r="W86" s="682"/>
      <c r="X86" s="140"/>
      <c r="Y86" s="89"/>
      <c r="Z86" s="89"/>
      <c r="AA86" s="89"/>
      <c r="AB86" s="89"/>
      <c r="AC86" s="89"/>
      <c r="AD86" s="124" t="s">
        <v>116</v>
      </c>
      <c r="AF86" s="140"/>
      <c r="AG86" s="89"/>
      <c r="AH86" s="89"/>
      <c r="AI86" s="89"/>
      <c r="AJ86" s="89"/>
      <c r="AK86" s="122"/>
      <c r="AL86" s="560">
        <f>IF(P84="","",IF(W92="",AL84,AL84-7))</f>
        <v>45995</v>
      </c>
      <c r="AM86" s="561"/>
      <c r="AN86" s="561"/>
      <c r="AO86" s="562"/>
      <c r="AQ86" s="140"/>
      <c r="AR86" s="140"/>
      <c r="AS86" s="121"/>
    </row>
    <row r="87" spans="2:55" ht="6.9" customHeight="1">
      <c r="B87" s="88"/>
      <c r="C87" s="140"/>
      <c r="D87" s="339"/>
      <c r="E87" s="350"/>
      <c r="F87" s="350"/>
      <c r="G87" s="350"/>
      <c r="H87" s="350"/>
      <c r="I87" s="350"/>
      <c r="J87" s="350"/>
      <c r="K87" s="35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  <c r="AE87" s="140"/>
      <c r="AF87" s="140"/>
      <c r="AG87" s="140"/>
      <c r="AH87" s="140"/>
      <c r="AI87" s="140"/>
      <c r="AJ87" s="140"/>
      <c r="AK87" s="140"/>
      <c r="AL87" s="140"/>
      <c r="AM87" s="140"/>
      <c r="AN87" s="140"/>
      <c r="AO87" s="140"/>
      <c r="AP87" s="140"/>
      <c r="AQ87" s="140"/>
      <c r="AR87" s="140"/>
      <c r="AS87" s="121"/>
    </row>
    <row r="88" spans="2:55" ht="24.75" customHeight="1">
      <c r="B88" s="88"/>
      <c r="C88" s="157"/>
      <c r="D88" s="233"/>
      <c r="E88" s="672" t="s">
        <v>87</v>
      </c>
      <c r="F88" s="673"/>
      <c r="G88" s="673"/>
      <c r="H88" s="673"/>
      <c r="I88" s="673"/>
      <c r="J88" s="673"/>
      <c r="K88" s="673"/>
      <c r="L88" s="140"/>
      <c r="M88" s="140"/>
      <c r="N88" s="140"/>
      <c r="O88" s="140"/>
      <c r="P88" s="669" t="s">
        <v>130</v>
      </c>
      <c r="Q88" s="669"/>
      <c r="R88" s="669"/>
      <c r="S88" s="669"/>
      <c r="T88" s="669"/>
      <c r="U88" s="669"/>
      <c r="V88" s="102"/>
      <c r="W88" s="232">
        <v>30</v>
      </c>
      <c r="X88" s="89"/>
      <c r="Y88" s="140"/>
      <c r="Z88" s="140"/>
      <c r="AA88" s="140"/>
      <c r="AB88" s="140"/>
      <c r="AC88" s="140"/>
      <c r="AD88" s="140"/>
      <c r="AE88" s="140"/>
      <c r="AF88" s="140"/>
      <c r="AG88" s="556" t="s">
        <v>90</v>
      </c>
      <c r="AH88" s="556"/>
      <c r="AI88" s="563"/>
      <c r="AJ88" s="680"/>
      <c r="AK88" s="681"/>
      <c r="AL88" s="681"/>
      <c r="AM88" s="681"/>
      <c r="AN88" s="681"/>
      <c r="AO88" s="681"/>
      <c r="AP88" s="682"/>
      <c r="AQ88" s="140"/>
      <c r="AR88" s="140"/>
      <c r="AS88" s="121"/>
    </row>
    <row r="89" spans="2:55" ht="6.9" customHeight="1">
      <c r="B89" s="88"/>
      <c r="C89" s="140"/>
      <c r="D89" s="339"/>
      <c r="E89" s="350"/>
      <c r="F89" s="350"/>
      <c r="G89" s="350"/>
      <c r="H89" s="350"/>
      <c r="I89" s="350"/>
      <c r="J89" s="350"/>
      <c r="K89" s="350"/>
      <c r="L89" s="140"/>
      <c r="M89" s="140"/>
      <c r="N89" s="140"/>
      <c r="O89" s="140"/>
      <c r="P89" s="240"/>
      <c r="Q89" s="240"/>
      <c r="R89" s="240"/>
      <c r="S89" s="240"/>
      <c r="T89" s="240"/>
      <c r="U89" s="240"/>
      <c r="V89" s="102"/>
      <c r="W89" s="339"/>
      <c r="X89" s="140"/>
      <c r="Y89" s="140"/>
      <c r="Z89" s="140"/>
      <c r="AA89" s="140"/>
      <c r="AB89" s="140"/>
      <c r="AC89" s="140"/>
      <c r="AD89" s="140"/>
      <c r="AE89" s="140"/>
      <c r="AF89" s="140"/>
      <c r="AG89" s="140"/>
      <c r="AH89" s="140"/>
      <c r="AI89" s="140"/>
      <c r="AJ89" s="140"/>
      <c r="AK89" s="140"/>
      <c r="AL89" s="140"/>
      <c r="AM89" s="140"/>
      <c r="AN89" s="140"/>
      <c r="AO89" s="140"/>
      <c r="AP89" s="140"/>
      <c r="AQ89" s="140"/>
      <c r="AR89" s="140"/>
      <c r="AS89" s="121"/>
    </row>
    <row r="90" spans="2:55" ht="27" customHeight="1">
      <c r="B90" s="88"/>
      <c r="C90" s="157"/>
      <c r="D90" s="233"/>
      <c r="E90" s="672" t="s">
        <v>107</v>
      </c>
      <c r="F90" s="673"/>
      <c r="G90" s="673"/>
      <c r="H90" s="673"/>
      <c r="I90" s="673"/>
      <c r="J90" s="673"/>
      <c r="K90" s="673"/>
      <c r="L90" s="140"/>
      <c r="M90" s="140"/>
      <c r="N90" s="140"/>
      <c r="O90" s="140"/>
      <c r="P90" s="669" t="s">
        <v>131</v>
      </c>
      <c r="Q90" s="669"/>
      <c r="R90" s="669"/>
      <c r="S90" s="669"/>
      <c r="T90" s="669"/>
      <c r="U90" s="669"/>
      <c r="V90" s="102"/>
      <c r="W90" s="233"/>
      <c r="X90" s="683" t="s">
        <v>128</v>
      </c>
      <c r="Y90" s="684"/>
      <c r="Z90" s="684"/>
      <c r="AA90" s="684"/>
      <c r="AB90" s="684"/>
      <c r="AC90" s="684"/>
      <c r="AD90" s="684"/>
      <c r="AE90" s="570"/>
      <c r="AF90" s="570"/>
      <c r="AG90" s="570"/>
      <c r="AH90" s="570"/>
      <c r="AI90" s="570"/>
      <c r="AJ90" s="570"/>
      <c r="AK90" s="570"/>
      <c r="AL90" s="570"/>
      <c r="AM90" s="570"/>
      <c r="AN90" s="570"/>
      <c r="AO90" s="570"/>
      <c r="AP90" s="570"/>
      <c r="AQ90" s="188"/>
      <c r="AR90" s="188"/>
      <c r="AS90" s="121"/>
    </row>
    <row r="91" spans="2:55" ht="6.9" customHeight="1">
      <c r="B91" s="88"/>
      <c r="C91" s="140"/>
      <c r="D91" s="339"/>
      <c r="E91" s="350"/>
      <c r="F91" s="350"/>
      <c r="G91" s="350"/>
      <c r="H91" s="350"/>
      <c r="I91" s="350"/>
      <c r="J91" s="350"/>
      <c r="K91" s="350"/>
      <c r="L91" s="140"/>
      <c r="M91" s="140"/>
      <c r="N91" s="102"/>
      <c r="O91" s="102"/>
      <c r="P91" s="240"/>
      <c r="Q91" s="240"/>
      <c r="R91" s="240"/>
      <c r="S91" s="240"/>
      <c r="T91" s="240"/>
      <c r="U91" s="240"/>
      <c r="V91" s="102"/>
      <c r="W91" s="339"/>
      <c r="X91" s="140"/>
      <c r="Y91" s="104"/>
      <c r="Z91" s="104"/>
      <c r="AA91" s="104"/>
      <c r="AB91" s="104"/>
      <c r="AC91" s="104"/>
      <c r="AD91" s="104"/>
      <c r="AE91" s="188"/>
      <c r="AF91" s="188"/>
      <c r="AG91" s="188"/>
      <c r="AH91" s="188"/>
      <c r="AI91" s="188"/>
      <c r="AJ91" s="188"/>
      <c r="AK91" s="188"/>
      <c r="AL91" s="188"/>
      <c r="AM91" s="188"/>
      <c r="AN91" s="188"/>
      <c r="AO91" s="188"/>
      <c r="AP91" s="188"/>
      <c r="AQ91" s="188"/>
      <c r="AR91" s="188"/>
      <c r="AS91" s="121"/>
    </row>
    <row r="92" spans="2:55" ht="27.75" customHeight="1">
      <c r="B92" s="88"/>
      <c r="C92" s="157"/>
      <c r="D92" s="233"/>
      <c r="E92" s="241" t="s">
        <v>118</v>
      </c>
      <c r="F92" s="237"/>
      <c r="G92" s="237"/>
      <c r="H92" s="237"/>
      <c r="I92" s="237"/>
      <c r="J92" s="237"/>
      <c r="K92" s="237"/>
      <c r="L92" s="140"/>
      <c r="M92" s="140"/>
      <c r="N92" s="102"/>
      <c r="O92" s="102"/>
      <c r="P92" s="669" t="s">
        <v>160</v>
      </c>
      <c r="Q92" s="669"/>
      <c r="R92" s="669"/>
      <c r="S92" s="669"/>
      <c r="T92" s="669"/>
      <c r="U92" s="669"/>
      <c r="V92" s="102"/>
      <c r="W92" s="233"/>
      <c r="X92" s="670" t="s">
        <v>129</v>
      </c>
      <c r="Y92" s="671"/>
      <c r="Z92" s="671"/>
      <c r="AA92" s="671"/>
      <c r="AB92" s="671"/>
      <c r="AC92" s="671"/>
      <c r="AD92" s="671"/>
      <c r="AE92" s="188"/>
      <c r="AF92" s="188"/>
      <c r="AG92" s="188"/>
      <c r="AH92" s="188"/>
      <c r="AI92" s="188"/>
      <c r="AJ92" s="188"/>
      <c r="AK92" s="188"/>
      <c r="AL92" s="188"/>
      <c r="AM92" s="188"/>
      <c r="AN92" s="188"/>
      <c r="AO92" s="188"/>
      <c r="AP92" s="188"/>
      <c r="AQ92" s="188"/>
      <c r="AR92" s="188"/>
      <c r="AS92" s="121"/>
    </row>
    <row r="93" spans="2:55" ht="6.9" customHeight="1">
      <c r="B93" s="88"/>
      <c r="C93" s="140"/>
      <c r="D93" s="339"/>
      <c r="E93" s="350"/>
      <c r="F93" s="350"/>
      <c r="G93" s="350"/>
      <c r="H93" s="350"/>
      <c r="I93" s="350"/>
      <c r="J93" s="350"/>
      <c r="K93" s="350"/>
      <c r="L93" s="140"/>
      <c r="M93" s="140"/>
      <c r="N93" s="102"/>
      <c r="O93" s="102"/>
      <c r="P93" s="240"/>
      <c r="Q93" s="240"/>
      <c r="R93" s="240"/>
      <c r="S93" s="240"/>
      <c r="T93" s="240"/>
      <c r="U93" s="240"/>
      <c r="V93" s="102"/>
      <c r="W93" s="339"/>
      <c r="X93" s="140"/>
      <c r="Y93" s="104"/>
      <c r="Z93" s="104"/>
      <c r="AA93" s="104"/>
      <c r="AB93" s="104"/>
      <c r="AC93" s="104"/>
      <c r="AD93" s="104"/>
      <c r="AE93" s="188"/>
      <c r="AF93" s="188"/>
      <c r="AG93" s="188"/>
      <c r="AH93" s="188"/>
      <c r="AI93" s="188"/>
      <c r="AJ93" s="188"/>
      <c r="AK93" s="188"/>
      <c r="AL93" s="188"/>
      <c r="AM93" s="188"/>
      <c r="AN93" s="188"/>
      <c r="AO93" s="188"/>
      <c r="AP93" s="188"/>
      <c r="AQ93" s="188"/>
      <c r="AR93" s="188"/>
      <c r="AS93" s="121"/>
    </row>
    <row r="94" spans="2:55" ht="24.75" customHeight="1">
      <c r="B94" s="88"/>
      <c r="C94" s="157"/>
      <c r="D94" s="233"/>
      <c r="E94" s="241" t="s">
        <v>119</v>
      </c>
      <c r="F94" s="237"/>
      <c r="G94" s="237"/>
      <c r="H94" s="237"/>
      <c r="I94" s="237"/>
      <c r="J94" s="237"/>
      <c r="K94" s="237"/>
      <c r="L94" s="140"/>
      <c r="M94" s="140"/>
      <c r="N94" s="102"/>
      <c r="O94" s="671" t="s">
        <v>177</v>
      </c>
      <c r="P94" s="671"/>
      <c r="Q94" s="671"/>
      <c r="R94" s="671"/>
      <c r="S94" s="671"/>
      <c r="T94" s="671"/>
      <c r="U94" s="671"/>
      <c r="V94" s="242" t="s">
        <v>18</v>
      </c>
      <c r="W94" s="233"/>
      <c r="X94" s="674"/>
      <c r="Y94" s="675"/>
      <c r="Z94" s="675"/>
      <c r="AA94" s="675"/>
      <c r="AB94" s="675"/>
      <c r="AC94" s="675"/>
      <c r="AD94" s="676"/>
      <c r="AE94" s="677" t="s">
        <v>105</v>
      </c>
      <c r="AF94" s="678"/>
      <c r="AG94" s="678"/>
      <c r="AH94" s="678"/>
      <c r="AI94" s="678"/>
      <c r="AJ94" s="678"/>
      <c r="AK94" s="678"/>
      <c r="AL94" s="678"/>
      <c r="AM94" s="678"/>
      <c r="AN94" s="678"/>
      <c r="AO94" s="678"/>
      <c r="AP94" s="679"/>
      <c r="AQ94" s="140"/>
      <c r="AR94" s="140"/>
      <c r="AS94" s="121"/>
    </row>
    <row r="95" spans="2:55" ht="6.75" customHeight="1">
      <c r="B95" s="88"/>
      <c r="C95" s="140"/>
      <c r="D95" s="344"/>
      <c r="E95" s="237"/>
      <c r="F95" s="237"/>
      <c r="G95" s="237"/>
      <c r="H95" s="237"/>
      <c r="I95" s="237"/>
      <c r="J95" s="237"/>
      <c r="K95" s="237"/>
      <c r="L95" s="140"/>
      <c r="M95" s="140"/>
      <c r="N95" s="102"/>
      <c r="O95" s="671"/>
      <c r="P95" s="671"/>
      <c r="Q95" s="671"/>
      <c r="R95" s="671"/>
      <c r="S95" s="671"/>
      <c r="T95" s="671"/>
      <c r="U95" s="671"/>
      <c r="V95" s="102"/>
      <c r="W95" s="341"/>
      <c r="X95" s="345"/>
      <c r="Y95" s="345"/>
      <c r="Z95" s="345"/>
      <c r="AA95" s="345"/>
      <c r="AB95" s="345"/>
      <c r="AC95" s="345"/>
      <c r="AD95" s="345"/>
      <c r="AE95" s="346"/>
      <c r="AF95" s="346"/>
      <c r="AG95" s="346"/>
      <c r="AH95" s="346"/>
      <c r="AI95" s="346"/>
      <c r="AJ95" s="346"/>
      <c r="AK95" s="346"/>
      <c r="AL95" s="346"/>
      <c r="AM95" s="346"/>
      <c r="AN95" s="346"/>
      <c r="AO95" s="346"/>
      <c r="AP95" s="346"/>
      <c r="AQ95" s="140"/>
      <c r="AR95" s="140"/>
      <c r="AS95" s="121"/>
    </row>
    <row r="96" spans="2:55" ht="24.75" customHeight="1">
      <c r="B96" s="88"/>
      <c r="C96" s="140"/>
      <c r="D96" s="233" t="s">
        <v>232</v>
      </c>
      <c r="E96" s="672" t="s">
        <v>85</v>
      </c>
      <c r="F96" s="673"/>
      <c r="G96" s="673"/>
      <c r="H96" s="673"/>
      <c r="I96" s="673"/>
      <c r="J96" s="673"/>
      <c r="K96" s="673"/>
      <c r="L96" s="140"/>
      <c r="M96" s="140"/>
      <c r="N96" s="102"/>
      <c r="O96" s="671"/>
      <c r="P96" s="671"/>
      <c r="Q96" s="671"/>
      <c r="R96" s="671"/>
      <c r="S96" s="671"/>
      <c r="T96" s="671"/>
      <c r="U96" s="671"/>
      <c r="V96" s="242" t="s">
        <v>19</v>
      </c>
      <c r="W96" s="233"/>
      <c r="X96" s="345"/>
      <c r="Y96" s="345"/>
      <c r="Z96" s="345"/>
      <c r="AA96" s="345"/>
      <c r="AB96" s="345"/>
      <c r="AC96" s="345"/>
      <c r="AD96" s="345"/>
      <c r="AE96" s="346"/>
      <c r="AF96" s="346"/>
      <c r="AG96" s="346"/>
      <c r="AH96" s="346"/>
      <c r="AI96" s="346"/>
      <c r="AJ96" s="346"/>
      <c r="AK96" s="346"/>
      <c r="AL96" s="346"/>
      <c r="AM96" s="346"/>
      <c r="AN96" s="346"/>
      <c r="AO96" s="346"/>
      <c r="AP96" s="346"/>
      <c r="AQ96" s="140"/>
      <c r="AR96" s="140"/>
      <c r="AS96" s="121"/>
    </row>
    <row r="97" spans="1:52" ht="9.75" customHeight="1">
      <c r="B97" s="56"/>
      <c r="C97" s="229"/>
      <c r="D97" s="229"/>
      <c r="E97" s="229"/>
      <c r="F97" s="229"/>
      <c r="G97" s="229"/>
      <c r="H97" s="229"/>
      <c r="I97" s="229"/>
      <c r="J97" s="229"/>
      <c r="K97" s="229"/>
      <c r="L97" s="229"/>
      <c r="M97" s="229"/>
      <c r="N97" s="230"/>
      <c r="O97" s="230"/>
      <c r="P97" s="230"/>
      <c r="Q97" s="230"/>
      <c r="R97" s="230"/>
      <c r="S97" s="230"/>
      <c r="T97" s="230"/>
      <c r="U97" s="230"/>
      <c r="V97" s="230"/>
      <c r="W97" s="147"/>
      <c r="X97" s="229"/>
      <c r="Y97" s="229"/>
      <c r="Z97" s="229"/>
      <c r="AA97" s="229"/>
      <c r="AB97" s="229"/>
      <c r="AC97" s="229"/>
      <c r="AD97" s="229"/>
      <c r="AE97" s="229"/>
      <c r="AF97" s="229"/>
      <c r="AG97" s="229"/>
      <c r="AH97" s="229"/>
      <c r="AI97" s="229"/>
      <c r="AJ97" s="229"/>
      <c r="AK97" s="229"/>
      <c r="AL97" s="229"/>
      <c r="AM97" s="229"/>
      <c r="AN97" s="229"/>
      <c r="AO97" s="229"/>
      <c r="AP97" s="229"/>
      <c r="AQ97" s="229"/>
      <c r="AR97" s="229"/>
      <c r="AS97" s="64"/>
    </row>
    <row r="98" spans="1:52" ht="10.5" customHeight="1">
      <c r="C98" s="5"/>
      <c r="D98" s="5"/>
      <c r="E98" s="5"/>
      <c r="H98" s="5"/>
      <c r="I98" s="5"/>
      <c r="K98" s="5"/>
      <c r="M98" s="5"/>
      <c r="N98" s="5"/>
      <c r="O98" s="32"/>
      <c r="Q98" s="32"/>
      <c r="R98" s="32"/>
      <c r="T98" s="5"/>
      <c r="W98" s="5"/>
      <c r="X98" s="5"/>
      <c r="Y98" s="32"/>
      <c r="Z98" s="32"/>
      <c r="AA98" s="32"/>
      <c r="AB98" s="32"/>
      <c r="AD98" s="32"/>
      <c r="AE98" s="32"/>
      <c r="AF98" s="32"/>
      <c r="AG98" s="32"/>
      <c r="AJ98" s="32"/>
      <c r="AO98" s="32"/>
      <c r="AW98" s="32"/>
      <c r="AX98" s="32"/>
      <c r="AZ98" s="5"/>
    </row>
    <row r="99" spans="1:52" ht="19.5" customHeight="1">
      <c r="C99" s="106"/>
      <c r="D99" s="550" t="s">
        <v>110</v>
      </c>
      <c r="E99" s="550"/>
      <c r="F99" s="550"/>
      <c r="G99" s="550"/>
      <c r="H99" s="550"/>
      <c r="I99" s="550"/>
      <c r="J99" s="550"/>
      <c r="K99" s="550"/>
      <c r="L99" s="550"/>
      <c r="M99" s="550"/>
      <c r="N99" s="550"/>
      <c r="O99" s="550"/>
      <c r="P99" s="550"/>
      <c r="Q99" s="550"/>
      <c r="R99" s="550"/>
      <c r="S99" s="550"/>
      <c r="T99" s="550"/>
      <c r="U99" s="107"/>
      <c r="W99" s="527" t="s">
        <v>108</v>
      </c>
      <c r="X99" s="527"/>
      <c r="Y99" s="527"/>
      <c r="Z99" s="527"/>
      <c r="AA99" s="527"/>
      <c r="AB99" s="527"/>
      <c r="AC99" s="527"/>
      <c r="AD99" s="527"/>
      <c r="AE99" s="527"/>
      <c r="AF99" s="527"/>
      <c r="AG99" s="527"/>
      <c r="AH99" s="527"/>
      <c r="AI99" s="527"/>
      <c r="AJ99" s="527"/>
      <c r="AK99" s="527"/>
      <c r="AL99" s="527"/>
      <c r="AM99" s="527"/>
      <c r="AN99" s="527"/>
      <c r="AO99" s="527"/>
      <c r="AP99" s="527"/>
      <c r="AQ99" s="527"/>
      <c r="AR99" s="527"/>
      <c r="AZ99" s="5"/>
    </row>
    <row r="100" spans="1:52" ht="18.75" customHeight="1">
      <c r="C100" s="35"/>
      <c r="D100" s="551" t="s">
        <v>29</v>
      </c>
      <c r="E100" s="551"/>
      <c r="F100" s="551"/>
      <c r="G100" s="551"/>
      <c r="H100" s="551"/>
      <c r="I100" s="551"/>
      <c r="J100" s="551"/>
      <c r="K100" s="551"/>
      <c r="L100" s="32"/>
      <c r="M100" s="551" t="s">
        <v>30</v>
      </c>
      <c r="N100" s="551"/>
      <c r="O100" s="551"/>
      <c r="P100" s="551"/>
      <c r="Q100" s="551"/>
      <c r="R100" s="551"/>
      <c r="S100" s="551"/>
      <c r="T100" s="551"/>
      <c r="U100" s="36"/>
      <c r="W100" s="111"/>
      <c r="X100" s="552" t="s">
        <v>109</v>
      </c>
      <c r="Y100" s="552"/>
      <c r="Z100" s="552"/>
      <c r="AA100" s="552"/>
      <c r="AB100" s="552"/>
      <c r="AC100" s="552"/>
      <c r="AD100" s="552"/>
      <c r="AE100" s="552"/>
      <c r="AF100" s="552"/>
      <c r="AG100" s="552"/>
      <c r="AH100" s="552"/>
      <c r="AI100" s="111"/>
      <c r="AJ100" s="111"/>
      <c r="AK100" s="553" t="s">
        <v>79</v>
      </c>
      <c r="AL100" s="553"/>
      <c r="AM100" s="530"/>
      <c r="AN100" s="530"/>
      <c r="AO100" s="530"/>
      <c r="AP100" s="530"/>
      <c r="AQ100" s="530"/>
      <c r="AR100" s="111"/>
    </row>
    <row r="101" spans="1:52" ht="5.25" customHeight="1">
      <c r="C101" s="35"/>
      <c r="D101" s="108"/>
      <c r="E101" s="108"/>
      <c r="F101" s="108"/>
      <c r="G101" s="108"/>
      <c r="H101" s="108"/>
      <c r="I101" s="108"/>
      <c r="J101" s="108"/>
      <c r="K101" s="108"/>
      <c r="L101" s="32"/>
      <c r="M101" s="108"/>
      <c r="N101" s="108"/>
      <c r="O101" s="108"/>
      <c r="P101" s="108"/>
      <c r="Q101" s="108"/>
      <c r="R101" s="108"/>
      <c r="S101" s="108"/>
      <c r="T101" s="108"/>
      <c r="U101" s="36"/>
      <c r="W101" s="111"/>
      <c r="X101" s="11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1"/>
      <c r="AJ101" s="111"/>
      <c r="AK101" s="111"/>
      <c r="AL101" s="111"/>
      <c r="AM101" s="111"/>
      <c r="AN101" s="111"/>
      <c r="AO101" s="111"/>
      <c r="AP101" s="111"/>
      <c r="AQ101" s="111"/>
      <c r="AR101" s="111"/>
    </row>
    <row r="102" spans="1:52" ht="36.75" customHeight="1">
      <c r="C102" s="35"/>
      <c r="D102" s="543"/>
      <c r="E102" s="541"/>
      <c r="F102" s="109" t="s">
        <v>8</v>
      </c>
      <c r="G102" s="541"/>
      <c r="H102" s="541"/>
      <c r="I102" s="109" t="s">
        <v>8</v>
      </c>
      <c r="J102" s="541"/>
      <c r="K102" s="544"/>
      <c r="L102" s="32"/>
      <c r="M102" s="543"/>
      <c r="N102" s="541"/>
      <c r="O102" s="109" t="s">
        <v>8</v>
      </c>
      <c r="P102" s="541"/>
      <c r="Q102" s="541"/>
      <c r="R102" s="109" t="s">
        <v>8</v>
      </c>
      <c r="S102" s="541"/>
      <c r="T102" s="544"/>
      <c r="U102" s="36"/>
      <c r="W102" s="113"/>
      <c r="X102" s="521"/>
      <c r="Y102" s="522"/>
      <c r="Z102" s="142" t="s">
        <v>8</v>
      </c>
      <c r="AA102" s="142"/>
      <c r="AB102" s="142"/>
      <c r="AC102" s="522"/>
      <c r="AD102" s="522"/>
      <c r="AE102" s="522"/>
      <c r="AF102" s="142" t="s">
        <v>8</v>
      </c>
      <c r="AG102" s="522"/>
      <c r="AH102" s="523"/>
      <c r="AI102" s="111"/>
      <c r="AJ102" s="111"/>
      <c r="AK102" s="530"/>
      <c r="AL102" s="530"/>
      <c r="AM102" s="530"/>
      <c r="AN102" s="530"/>
      <c r="AO102" s="530"/>
      <c r="AP102" s="530"/>
      <c r="AQ102" s="530"/>
      <c r="AR102" s="111"/>
    </row>
    <row r="103" spans="1:52" ht="36.75" customHeight="1">
      <c r="C103" s="35"/>
      <c r="D103" s="541"/>
      <c r="E103" s="541"/>
      <c r="F103" s="541"/>
      <c r="G103" s="541"/>
      <c r="H103" s="541"/>
      <c r="I103" s="541"/>
      <c r="J103" s="541"/>
      <c r="K103" s="541"/>
      <c r="L103" s="32"/>
      <c r="M103" s="541"/>
      <c r="N103" s="541"/>
      <c r="O103" s="541"/>
      <c r="P103" s="541"/>
      <c r="Q103" s="541"/>
      <c r="R103" s="541"/>
      <c r="S103" s="541"/>
      <c r="T103" s="541"/>
      <c r="U103" s="36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542"/>
      <c r="AL103" s="542"/>
      <c r="AM103" s="542"/>
      <c r="AN103" s="542"/>
      <c r="AO103" s="542"/>
      <c r="AP103" s="542"/>
      <c r="AQ103" s="542"/>
      <c r="AR103" s="111"/>
    </row>
    <row r="104" spans="1:52" s="37" customFormat="1" ht="36.75" customHeight="1">
      <c r="C104" s="38"/>
      <c r="D104" s="545" t="s">
        <v>20</v>
      </c>
      <c r="E104" s="545"/>
      <c r="F104" s="545"/>
      <c r="G104" s="545"/>
      <c r="H104" s="545"/>
      <c r="I104" s="545"/>
      <c r="J104" s="545"/>
      <c r="K104" s="545"/>
      <c r="L104" s="110"/>
      <c r="M104" s="545" t="s">
        <v>20</v>
      </c>
      <c r="N104" s="545"/>
      <c r="O104" s="545"/>
      <c r="P104" s="545"/>
      <c r="Q104" s="545"/>
      <c r="R104" s="545"/>
      <c r="S104" s="545"/>
      <c r="T104" s="545"/>
      <c r="U104" s="39"/>
      <c r="W104" s="114"/>
      <c r="X104" s="546" t="s">
        <v>20</v>
      </c>
      <c r="Y104" s="546"/>
      <c r="Z104" s="546"/>
      <c r="AA104" s="546"/>
      <c r="AB104" s="546"/>
      <c r="AC104" s="546"/>
      <c r="AD104" s="546"/>
      <c r="AE104" s="546"/>
      <c r="AF104" s="546"/>
      <c r="AG104" s="546"/>
      <c r="AH104" s="546"/>
      <c r="AI104" s="114"/>
      <c r="AJ104" s="114"/>
      <c r="AK104" s="114"/>
      <c r="AL104" s="114"/>
      <c r="AM104" s="114"/>
      <c r="AN104" s="114"/>
      <c r="AO104" s="114"/>
      <c r="AP104" s="114"/>
      <c r="AQ104" s="114"/>
      <c r="AR104" s="114"/>
      <c r="AS104" s="66"/>
    </row>
    <row r="105" spans="1:52" s="37" customFormat="1" ht="4.5" customHeight="1">
      <c r="D105" s="65"/>
      <c r="E105" s="65"/>
      <c r="F105" s="65"/>
      <c r="G105" s="65"/>
      <c r="H105" s="65"/>
      <c r="I105" s="65"/>
      <c r="J105" s="65"/>
      <c r="L105" s="65"/>
      <c r="M105" s="65"/>
      <c r="N105" s="65"/>
      <c r="O105" s="65"/>
      <c r="P105" s="65"/>
      <c r="Q105" s="65"/>
      <c r="R105" s="65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</row>
    <row r="106" spans="1:52" ht="5.25" customHeight="1" thickBot="1"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/>
      <c r="AR106" s="74"/>
      <c r="AS106" s="74"/>
    </row>
    <row r="107" spans="1:52" ht="13.8" thickTop="1">
      <c r="A107" s="540"/>
      <c r="B107" s="540"/>
      <c r="C107" s="540"/>
      <c r="D107" s="540"/>
      <c r="E107" s="540"/>
      <c r="F107" s="540"/>
      <c r="G107" s="540"/>
      <c r="H107" s="540"/>
      <c r="I107" s="540"/>
      <c r="J107" s="540"/>
      <c r="K107" s="540"/>
      <c r="L107" s="540"/>
      <c r="M107" s="540"/>
      <c r="N107" s="540"/>
      <c r="O107" s="540"/>
      <c r="P107" s="540"/>
      <c r="Q107" s="540"/>
      <c r="R107" s="540"/>
      <c r="S107" s="540"/>
      <c r="T107" s="540"/>
      <c r="U107" s="540"/>
      <c r="V107" s="540"/>
      <c r="W107" s="540"/>
      <c r="X107" s="540"/>
      <c r="Y107" s="540"/>
      <c r="Z107" s="540"/>
      <c r="AA107" s="540"/>
      <c r="AB107" s="540"/>
      <c r="AC107" s="540"/>
      <c r="AD107" s="540"/>
      <c r="AE107" s="540"/>
      <c r="AF107" s="540"/>
      <c r="AG107" s="540"/>
      <c r="AH107" s="540"/>
      <c r="AI107" s="540"/>
      <c r="AJ107" s="540"/>
      <c r="AK107" s="540"/>
      <c r="AL107" s="540"/>
      <c r="AM107" s="540"/>
      <c r="AN107" s="540"/>
      <c r="AO107" s="540"/>
      <c r="AP107" s="540"/>
      <c r="AQ107" s="540"/>
      <c r="AR107" s="540"/>
      <c r="AS107" s="540"/>
      <c r="AT107" s="540"/>
    </row>
  </sheetData>
  <sheetProtection password="C8A2" sheet="1" formatCells="0"/>
  <mergeCells count="289">
    <mergeCell ref="E96:K96"/>
    <mergeCell ref="B14:AS14"/>
    <mergeCell ref="B27:AS27"/>
    <mergeCell ref="B69:AS69"/>
    <mergeCell ref="B80:AS80"/>
    <mergeCell ref="U25:V25"/>
    <mergeCell ref="X25:AE25"/>
    <mergeCell ref="AN25:AR25"/>
    <mergeCell ref="AG16:AJ16"/>
    <mergeCell ref="AK16:AR16"/>
    <mergeCell ref="Z18:AC18"/>
    <mergeCell ref="AJ18:AL18"/>
    <mergeCell ref="AN22:AR22"/>
    <mergeCell ref="U24:V24"/>
    <mergeCell ref="X24:AD24"/>
    <mergeCell ref="AN24:AQ24"/>
    <mergeCell ref="V20:Y20"/>
    <mergeCell ref="AD20:AE20"/>
    <mergeCell ref="AG20:AK20"/>
    <mergeCell ref="AM20:AO20"/>
    <mergeCell ref="E20:H20"/>
    <mergeCell ref="I20:M20"/>
    <mergeCell ref="N20:O20"/>
    <mergeCell ref="Q20:R20"/>
    <mergeCell ref="AP11:AR11"/>
    <mergeCell ref="T1:AT1"/>
    <mergeCell ref="A2:AT2"/>
    <mergeCell ref="AM5:AQ5"/>
    <mergeCell ref="S5:X5"/>
    <mergeCell ref="K5:P5"/>
    <mergeCell ref="I5:J5"/>
    <mergeCell ref="Y5:Z5"/>
    <mergeCell ref="I9:AK9"/>
    <mergeCell ref="S20:U20"/>
    <mergeCell ref="X18:Y18"/>
    <mergeCell ref="R18:S18"/>
    <mergeCell ref="T18:W18"/>
    <mergeCell ref="G18:P18"/>
    <mergeCell ref="AP20:AR20"/>
    <mergeCell ref="C22:G22"/>
    <mergeCell ref="H22:M22"/>
    <mergeCell ref="N22:O22"/>
    <mergeCell ref="P22:Q22"/>
    <mergeCell ref="R22:S22"/>
    <mergeCell ref="T22:U22"/>
    <mergeCell ref="AC22:AF22"/>
    <mergeCell ref="C20:D20"/>
    <mergeCell ref="Y22:AB22"/>
    <mergeCell ref="AF18:AG18"/>
    <mergeCell ref="AM18:AR18"/>
    <mergeCell ref="AG22:AM22"/>
    <mergeCell ref="AG88:AI88"/>
    <mergeCell ref="C82:K82"/>
    <mergeCell ref="AE82:AR82"/>
    <mergeCell ref="C28:G28"/>
    <mergeCell ref="N73:R73"/>
    <mergeCell ref="T73:X73"/>
    <mergeCell ref="AE39:AO39"/>
    <mergeCell ref="D41:H41"/>
    <mergeCell ref="F50:AE50"/>
    <mergeCell ref="AF50:AH50"/>
    <mergeCell ref="F51:AE51"/>
    <mergeCell ref="R54:S54"/>
    <mergeCell ref="S35:W35"/>
    <mergeCell ref="G31:Y31"/>
    <mergeCell ref="M30:P30"/>
    <mergeCell ref="S30:V30"/>
    <mergeCell ref="AK30:AR30"/>
    <mergeCell ref="M33:AP33"/>
    <mergeCell ref="M35:Q35"/>
    <mergeCell ref="G56:H56"/>
    <mergeCell ref="I56:K56"/>
    <mergeCell ref="L56:M56"/>
    <mergeCell ref="N56:O56"/>
    <mergeCell ref="P56:Q56"/>
    <mergeCell ref="AY82:BC82"/>
    <mergeCell ref="C35:H35"/>
    <mergeCell ref="I35:J35"/>
    <mergeCell ref="AE37:AO37"/>
    <mergeCell ref="D37:K37"/>
    <mergeCell ref="C30:K30"/>
    <mergeCell ref="I77:K77"/>
    <mergeCell ref="U16:W16"/>
    <mergeCell ref="AL9:AN9"/>
    <mergeCell ref="AL11:AO11"/>
    <mergeCell ref="X16:AF16"/>
    <mergeCell ref="G16:L16"/>
    <mergeCell ref="O16:T16"/>
    <mergeCell ref="I11:AK11"/>
    <mergeCell ref="N77:R77"/>
    <mergeCell ref="T77:X77"/>
    <mergeCell ref="I71:N71"/>
    <mergeCell ref="T76:X76"/>
    <mergeCell ref="N76:R76"/>
    <mergeCell ref="N74:R74"/>
    <mergeCell ref="T74:X74"/>
    <mergeCell ref="I74:K74"/>
    <mergeCell ref="I73:K73"/>
    <mergeCell ref="U71:Y71"/>
    <mergeCell ref="X104:AH104"/>
    <mergeCell ref="AG84:AK84"/>
    <mergeCell ref="D103:K103"/>
    <mergeCell ref="M103:T103"/>
    <mergeCell ref="AK103:AQ103"/>
    <mergeCell ref="E84:K84"/>
    <mergeCell ref="AL84:AO84"/>
    <mergeCell ref="E88:K88"/>
    <mergeCell ref="E86:K86"/>
    <mergeCell ref="P90:U90"/>
    <mergeCell ref="X100:AH100"/>
    <mergeCell ref="AK100:AL100"/>
    <mergeCell ref="AM100:AQ100"/>
    <mergeCell ref="O94:U96"/>
    <mergeCell ref="X94:AD94"/>
    <mergeCell ref="AE94:AP94"/>
    <mergeCell ref="P86:S86"/>
    <mergeCell ref="T86:W86"/>
    <mergeCell ref="AL86:AO86"/>
    <mergeCell ref="AJ88:AP88"/>
    <mergeCell ref="E90:K90"/>
    <mergeCell ref="X90:AD90"/>
    <mergeCell ref="AE90:AP90"/>
    <mergeCell ref="P88:U88"/>
    <mergeCell ref="A107:AT107"/>
    <mergeCell ref="AK102:AQ102"/>
    <mergeCell ref="P84:Q84"/>
    <mergeCell ref="R84:S84"/>
    <mergeCell ref="AK76:AQ76"/>
    <mergeCell ref="P71:S71"/>
    <mergeCell ref="I76:K76"/>
    <mergeCell ref="D104:K104"/>
    <mergeCell ref="X102:Y102"/>
    <mergeCell ref="M104:T104"/>
    <mergeCell ref="AC102:AE102"/>
    <mergeCell ref="AG102:AH102"/>
    <mergeCell ref="D102:E102"/>
    <mergeCell ref="G102:H102"/>
    <mergeCell ref="J102:K102"/>
    <mergeCell ref="M102:N102"/>
    <mergeCell ref="P102:Q102"/>
    <mergeCell ref="S102:T102"/>
    <mergeCell ref="P92:U92"/>
    <mergeCell ref="X92:AD92"/>
    <mergeCell ref="D99:T99"/>
    <mergeCell ref="W99:AR99"/>
    <mergeCell ref="D100:K100"/>
    <mergeCell ref="M100:T100"/>
    <mergeCell ref="AC55:AE55"/>
    <mergeCell ref="T55:V55"/>
    <mergeCell ref="W55:Y55"/>
    <mergeCell ref="Z55:AB55"/>
    <mergeCell ref="G55:H55"/>
    <mergeCell ref="C24:H24"/>
    <mergeCell ref="I24:S24"/>
    <mergeCell ref="Z53:AB53"/>
    <mergeCell ref="T54:V54"/>
    <mergeCell ref="W54:Y54"/>
    <mergeCell ref="Z54:AB54"/>
    <mergeCell ref="AC54:AE54"/>
    <mergeCell ref="G54:H54"/>
    <mergeCell ref="I54:K54"/>
    <mergeCell ref="L54:M54"/>
    <mergeCell ref="N54:O54"/>
    <mergeCell ref="P54:Q54"/>
    <mergeCell ref="E25:H25"/>
    <mergeCell ref="I25:S25"/>
    <mergeCell ref="C31:F31"/>
    <mergeCell ref="BH51:BJ51"/>
    <mergeCell ref="BK51:BN51"/>
    <mergeCell ref="F52:F53"/>
    <mergeCell ref="G52:H53"/>
    <mergeCell ref="I52:M52"/>
    <mergeCell ref="N52:O53"/>
    <mergeCell ref="P52:S52"/>
    <mergeCell ref="T52:AE52"/>
    <mergeCell ref="AL52:AM52"/>
    <mergeCell ref="I53:K53"/>
    <mergeCell ref="L53:M53"/>
    <mergeCell ref="P53:Q53"/>
    <mergeCell ref="R53:S53"/>
    <mergeCell ref="T53:V53"/>
    <mergeCell ref="W53:Y53"/>
    <mergeCell ref="AL53:AM53"/>
    <mergeCell ref="AL51:AM51"/>
    <mergeCell ref="AC53:AE53"/>
    <mergeCell ref="G59:H59"/>
    <mergeCell ref="I59:K59"/>
    <mergeCell ref="L59:M59"/>
    <mergeCell ref="N59:O59"/>
    <mergeCell ref="P59:Q59"/>
    <mergeCell ref="R59:S59"/>
    <mergeCell ref="L57:M57"/>
    <mergeCell ref="N57:O57"/>
    <mergeCell ref="P57:Q57"/>
    <mergeCell ref="R57:S57"/>
    <mergeCell ref="G58:H58"/>
    <mergeCell ref="I58:K58"/>
    <mergeCell ref="L58:M58"/>
    <mergeCell ref="N58:O58"/>
    <mergeCell ref="P58:Q58"/>
    <mergeCell ref="R58:S58"/>
    <mergeCell ref="G57:H57"/>
    <mergeCell ref="I57:K57"/>
    <mergeCell ref="R61:S61"/>
    <mergeCell ref="T61:V61"/>
    <mergeCell ref="W61:Y61"/>
    <mergeCell ref="Z61:AB61"/>
    <mergeCell ref="I55:K55"/>
    <mergeCell ref="L55:M55"/>
    <mergeCell ref="N55:O55"/>
    <mergeCell ref="P55:Q55"/>
    <mergeCell ref="R55:S55"/>
    <mergeCell ref="R56:S56"/>
    <mergeCell ref="Z71:AA71"/>
    <mergeCell ref="B68:AS68"/>
    <mergeCell ref="AC59:AE59"/>
    <mergeCell ref="G60:H60"/>
    <mergeCell ref="I60:K60"/>
    <mergeCell ref="L60:M60"/>
    <mergeCell ref="N60:O60"/>
    <mergeCell ref="P60:Q60"/>
    <mergeCell ref="R60:S60"/>
    <mergeCell ref="P61:Q61"/>
    <mergeCell ref="M63:O63"/>
    <mergeCell ref="P63:S63"/>
    <mergeCell ref="T63:V63"/>
    <mergeCell ref="E64:L64"/>
    <mergeCell ref="M64:O64"/>
    <mergeCell ref="P64:S64"/>
    <mergeCell ref="T64:V64"/>
    <mergeCell ref="E65:L65"/>
    <mergeCell ref="M65:O65"/>
    <mergeCell ref="P65:S65"/>
    <mergeCell ref="T65:V65"/>
    <mergeCell ref="M66:O66"/>
    <mergeCell ref="P66:S66"/>
    <mergeCell ref="T66:V66"/>
    <mergeCell ref="T57:V57"/>
    <mergeCell ref="W57:Y57"/>
    <mergeCell ref="AC58:AE58"/>
    <mergeCell ref="AC57:AE57"/>
    <mergeCell ref="Z57:AB57"/>
    <mergeCell ref="T56:V56"/>
    <mergeCell ref="W56:Y56"/>
    <mergeCell ref="Z56:AB56"/>
    <mergeCell ref="AC56:AE56"/>
    <mergeCell ref="T58:V58"/>
    <mergeCell ref="W58:Y58"/>
    <mergeCell ref="Z58:AB58"/>
    <mergeCell ref="BK58:BN58"/>
    <mergeCell ref="BK59:BN59"/>
    <mergeCell ref="BF61:BG61"/>
    <mergeCell ref="BH61:BJ61"/>
    <mergeCell ref="BK61:BN61"/>
    <mergeCell ref="T60:V60"/>
    <mergeCell ref="W60:Y60"/>
    <mergeCell ref="Z60:AB60"/>
    <mergeCell ref="AC60:AE60"/>
    <mergeCell ref="BH59:BJ59"/>
    <mergeCell ref="BF59:BG59"/>
    <mergeCell ref="BH60:BJ60"/>
    <mergeCell ref="AC61:AE61"/>
    <mergeCell ref="T59:V59"/>
    <mergeCell ref="W59:Y59"/>
    <mergeCell ref="Z59:AB59"/>
    <mergeCell ref="BF60:BG60"/>
    <mergeCell ref="BK60:BN60"/>
    <mergeCell ref="E66:L66"/>
    <mergeCell ref="BF51:BG51"/>
    <mergeCell ref="BK53:BN53"/>
    <mergeCell ref="BH53:BJ53"/>
    <mergeCell ref="BF53:BG53"/>
    <mergeCell ref="BH54:BJ54"/>
    <mergeCell ref="BF54:BG54"/>
    <mergeCell ref="BK54:BN54"/>
    <mergeCell ref="BF52:BG52"/>
    <mergeCell ref="BK55:BN55"/>
    <mergeCell ref="BH55:BJ55"/>
    <mergeCell ref="BF55:BG55"/>
    <mergeCell ref="BH56:BJ56"/>
    <mergeCell ref="BF56:BG56"/>
    <mergeCell ref="BK52:BN52"/>
    <mergeCell ref="BH52:BJ52"/>
    <mergeCell ref="BK57:BN57"/>
    <mergeCell ref="BH57:BJ57"/>
    <mergeCell ref="BF57:BG57"/>
    <mergeCell ref="BK56:BN56"/>
    <mergeCell ref="BH58:BJ58"/>
    <mergeCell ref="BF58:BG58"/>
  </mergeCells>
  <printOptions horizontalCentered="1"/>
  <pageMargins left="0.11811023622047245" right="0" top="0.23622047244094491" bottom="0.19685039370078741" header="0.23622047244094491" footer="0"/>
  <pageSetup paperSize="9" scale="4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ADMISSÃO</vt:lpstr>
      <vt:lpstr>formulário em branco</vt:lpstr>
      <vt:lpstr>RESCISÃO-FÉRIAS e ALTERAÇÕES</vt:lpstr>
      <vt:lpstr>ADMISSÃO!Area_de_impressao</vt:lpstr>
      <vt:lpstr>'formulário em branco'!Area_de_impressao</vt:lpstr>
      <vt:lpstr>'RESCISÃO-FÉRIAS e ALTERAÇÕES'!Area_de_impressao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CAIXA ECONÔMICA FEDERAL</dc:creator>
  <cp:lastModifiedBy>Liana Fernandes</cp:lastModifiedBy>
  <cp:lastPrinted>2024-11-07T12:26:58Z</cp:lastPrinted>
  <dcterms:created xsi:type="dcterms:W3CDTF">1997-07-04T12:18:02Z</dcterms:created>
  <dcterms:modified xsi:type="dcterms:W3CDTF">2026-02-10T13:07:05Z</dcterms:modified>
</cp:coreProperties>
</file>